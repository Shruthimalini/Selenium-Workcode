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1536" documentId="11_0B1D56BE9CDCCE836B02CE7A5FB0D4A9BBFD1C62" xr6:coauthVersionLast="47" xr6:coauthVersionMax="47" xr10:uidLastSave="{BFD76B49-96A8-4AAE-A227-51C7F7CDF300}"/>
  <bookViews>
    <workbookView xWindow="240" yWindow="105" windowWidth="14805" windowHeight="8010" firstSheet="1" activeTab="1" xr2:uid="{00000000-000D-0000-FFFF-FFFF00000000}"/>
  </bookViews>
  <sheets>
    <sheet name="Sheet1" sheetId="2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80" i="3"/>
  <c r="D353" i="3"/>
  <c r="D352" i="3"/>
  <c r="E352" i="3" s="1"/>
  <c r="D351" i="3"/>
  <c r="E351" i="3" s="1"/>
  <c r="D350" i="3"/>
  <c r="E350" i="3" s="1"/>
  <c r="D349" i="3"/>
  <c r="E349" i="3" s="1"/>
  <c r="D348" i="3"/>
  <c r="E348" i="3" s="1"/>
  <c r="D346" i="3"/>
  <c r="E346" i="3" s="1"/>
  <c r="D345" i="3"/>
  <c r="E345" i="3" s="1"/>
  <c r="D344" i="3"/>
  <c r="E344" i="3" s="1"/>
  <c r="D343" i="3"/>
  <c r="E343" i="3" s="1"/>
  <c r="D341" i="3"/>
  <c r="D339" i="3"/>
  <c r="E339" i="3" s="1"/>
  <c r="D338" i="3"/>
  <c r="E338" i="3" s="1"/>
  <c r="D337" i="3"/>
  <c r="E337" i="3" s="1"/>
  <c r="D336" i="3"/>
  <c r="E336" i="3" s="1"/>
  <c r="D335" i="3"/>
  <c r="E335" i="3" s="1"/>
  <c r="D334" i="3"/>
  <c r="E334" i="3" s="1"/>
  <c r="D333" i="3"/>
  <c r="E333" i="3" s="1"/>
  <c r="D332" i="3"/>
  <c r="E332" i="3" s="1"/>
  <c r="D331" i="3"/>
  <c r="E331" i="3" s="1"/>
  <c r="D330" i="3"/>
  <c r="E330" i="3" s="1"/>
  <c r="D329" i="3"/>
  <c r="E329" i="3" s="1"/>
  <c r="D328" i="3"/>
  <c r="E328" i="3" s="1"/>
  <c r="D327" i="3"/>
  <c r="E327" i="3" s="1"/>
  <c r="D326" i="3"/>
  <c r="E326" i="3" s="1"/>
  <c r="D325" i="3"/>
  <c r="E325" i="3" s="1"/>
  <c r="D324" i="3"/>
  <c r="E324" i="3" s="1"/>
  <c r="D323" i="3"/>
  <c r="E323" i="3" s="1"/>
  <c r="D321" i="3"/>
  <c r="D320" i="3"/>
  <c r="E320" i="3" s="1"/>
  <c r="D319" i="3"/>
  <c r="E319" i="3" s="1"/>
  <c r="D318" i="3"/>
  <c r="E318" i="3" s="1"/>
  <c r="D317" i="3"/>
  <c r="E317" i="3" s="1"/>
  <c r="D316" i="3"/>
  <c r="E316" i="3" s="1"/>
  <c r="D315" i="3"/>
  <c r="E315" i="3" s="1"/>
  <c r="D314" i="3"/>
  <c r="E314" i="3" s="1"/>
  <c r="D313" i="3"/>
  <c r="E313" i="3" s="1"/>
  <c r="D312" i="3"/>
  <c r="E312" i="3" s="1"/>
  <c r="D311" i="3"/>
  <c r="E311" i="3" s="1"/>
  <c r="D310" i="3"/>
  <c r="E310" i="3" s="1"/>
  <c r="D309" i="3"/>
  <c r="E309" i="3" s="1"/>
  <c r="D308" i="3"/>
  <c r="E308" i="3" s="1"/>
  <c r="D307" i="3"/>
  <c r="E307" i="3" s="1"/>
  <c r="D306" i="3"/>
  <c r="E306" i="3" s="1"/>
  <c r="D305" i="3"/>
  <c r="E305" i="3" s="1"/>
  <c r="D304" i="3"/>
  <c r="E304" i="3" s="1"/>
  <c r="D302" i="3"/>
  <c r="D301" i="3"/>
  <c r="E301" i="3" s="1"/>
  <c r="D300" i="3"/>
  <c r="E300" i="3" s="1"/>
  <c r="D299" i="3"/>
  <c r="E299" i="3" s="1"/>
  <c r="D298" i="3"/>
  <c r="E298" i="3" s="1"/>
  <c r="D297" i="3"/>
  <c r="E297" i="3" s="1"/>
  <c r="D296" i="3"/>
  <c r="E296" i="3" s="1"/>
  <c r="D295" i="3"/>
  <c r="E295" i="3" s="1"/>
  <c r="D293" i="3"/>
  <c r="D292" i="3"/>
  <c r="E292" i="3" s="1"/>
  <c r="D291" i="3"/>
  <c r="E291" i="3" s="1"/>
  <c r="D290" i="3"/>
  <c r="E290" i="3" s="1"/>
  <c r="D289" i="3"/>
  <c r="E289" i="3" s="1"/>
  <c r="D288" i="3"/>
  <c r="E288" i="3" s="1"/>
  <c r="D287" i="3"/>
  <c r="E287" i="3" s="1"/>
  <c r="D286" i="3"/>
  <c r="E286" i="3" s="1"/>
  <c r="D283" i="3"/>
  <c r="E283" i="3" s="1"/>
  <c r="D281" i="3"/>
  <c r="D279" i="3"/>
  <c r="E279" i="3" s="1"/>
  <c r="D278" i="3"/>
  <c r="E278" i="3" s="1"/>
  <c r="D277" i="3"/>
  <c r="E277" i="3" s="1"/>
  <c r="D276" i="3"/>
  <c r="E276" i="3" s="1"/>
  <c r="D275" i="3"/>
  <c r="E275" i="3" s="1"/>
  <c r="D274" i="3"/>
  <c r="E274" i="3" s="1"/>
  <c r="D273" i="3"/>
  <c r="E273" i="3" s="1"/>
  <c r="D271" i="3"/>
  <c r="D270" i="3"/>
  <c r="E270" i="3" s="1"/>
  <c r="D269" i="3"/>
  <c r="E269" i="3" s="1"/>
  <c r="D268" i="3"/>
  <c r="E268" i="3" s="1"/>
  <c r="D267" i="3"/>
  <c r="E267" i="3" s="1"/>
  <c r="D266" i="3"/>
  <c r="E266" i="3" s="1"/>
  <c r="D265" i="3"/>
  <c r="E265" i="3" s="1"/>
  <c r="D264" i="3"/>
  <c r="E264" i="3" s="1"/>
  <c r="D263" i="3"/>
  <c r="E263" i="3" s="1"/>
  <c r="D262" i="3"/>
  <c r="E262" i="3" s="1"/>
  <c r="D261" i="3"/>
  <c r="E261" i="3" s="1"/>
  <c r="D260" i="3"/>
  <c r="E260" i="3" s="1"/>
  <c r="D258" i="3"/>
  <c r="D257" i="3"/>
  <c r="E257" i="3" s="1"/>
  <c r="D256" i="3"/>
  <c r="E256" i="3" s="1"/>
  <c r="D255" i="3"/>
  <c r="E255" i="3" s="1"/>
  <c r="D254" i="3"/>
  <c r="E254" i="3" s="1"/>
  <c r="D253" i="3"/>
  <c r="E253" i="3" s="1"/>
  <c r="D251" i="3"/>
  <c r="D250" i="3"/>
  <c r="E250" i="3" s="1"/>
  <c r="D249" i="3"/>
  <c r="E249" i="3" s="1"/>
  <c r="D248" i="3"/>
  <c r="E248" i="3" s="1"/>
  <c r="D247" i="3"/>
  <c r="E247" i="3" s="1"/>
  <c r="D245" i="3"/>
  <c r="E245" i="3" s="1"/>
  <c r="D244" i="3"/>
  <c r="E244" i="3" s="1"/>
  <c r="D243" i="3"/>
  <c r="E243" i="3" s="1"/>
  <c r="D242" i="3"/>
  <c r="E242" i="3" s="1"/>
  <c r="D240" i="3"/>
  <c r="D239" i="3"/>
  <c r="E239" i="3" s="1"/>
  <c r="D238" i="3"/>
  <c r="E238" i="3" s="1"/>
  <c r="D237" i="3"/>
  <c r="E237" i="3" s="1"/>
  <c r="D236" i="3"/>
  <c r="E236" i="3" s="1"/>
  <c r="D235" i="3"/>
  <c r="E235" i="3" s="1"/>
  <c r="D232" i="3"/>
  <c r="E232" i="3" s="1"/>
  <c r="D231" i="3"/>
  <c r="E231" i="3" s="1"/>
  <c r="D230" i="3"/>
  <c r="E230" i="3" s="1"/>
  <c r="D229" i="3"/>
  <c r="E229" i="3" s="1"/>
  <c r="D227" i="3"/>
  <c r="E227" i="3" s="1"/>
  <c r="D226" i="3"/>
  <c r="E226" i="3" s="1"/>
  <c r="D225" i="3"/>
  <c r="E225" i="3" s="1"/>
  <c r="D224" i="3"/>
  <c r="E224" i="3" s="1"/>
  <c r="D223" i="3"/>
  <c r="E223" i="3" s="1"/>
  <c r="D222" i="3"/>
  <c r="E222" i="3" s="1"/>
  <c r="D221" i="3"/>
  <c r="E221" i="3" s="1"/>
  <c r="D220" i="3"/>
  <c r="E220" i="3" s="1"/>
  <c r="D219" i="3"/>
  <c r="E219" i="3" s="1"/>
  <c r="D218" i="3"/>
  <c r="E218" i="3" s="1"/>
  <c r="D216" i="3"/>
  <c r="D215" i="3"/>
  <c r="E215" i="3" s="1"/>
  <c r="D214" i="3"/>
  <c r="E214" i="3" s="1"/>
  <c r="D213" i="3"/>
  <c r="E213" i="3" s="1"/>
  <c r="D212" i="3"/>
  <c r="E212" i="3" s="1"/>
  <c r="D211" i="3"/>
  <c r="E211" i="3" s="1"/>
  <c r="D210" i="3"/>
  <c r="E210" i="3" s="1"/>
  <c r="D209" i="3"/>
  <c r="E209" i="3" s="1"/>
  <c r="D206" i="3"/>
  <c r="E206" i="3" s="1"/>
  <c r="D204" i="3"/>
  <c r="D203" i="3"/>
  <c r="E203" i="3" s="1"/>
  <c r="D202" i="3"/>
  <c r="E202" i="3" s="1"/>
  <c r="D201" i="3"/>
  <c r="E201" i="3" s="1"/>
  <c r="D200" i="3"/>
  <c r="E200" i="3" s="1"/>
  <c r="D199" i="3"/>
  <c r="E199" i="3" s="1"/>
  <c r="D198" i="3"/>
  <c r="E198" i="3" s="1"/>
  <c r="D196" i="3"/>
  <c r="D195" i="3"/>
  <c r="E195" i="3" s="1"/>
  <c r="D194" i="3"/>
  <c r="E194" i="3" s="1"/>
  <c r="D193" i="3"/>
  <c r="E193" i="3" s="1"/>
  <c r="D192" i="3"/>
  <c r="E192" i="3" s="1"/>
  <c r="D191" i="3"/>
  <c r="E191" i="3" s="1"/>
  <c r="D189" i="3"/>
  <c r="D188" i="3"/>
  <c r="E188" i="3" s="1"/>
  <c r="D187" i="3"/>
  <c r="E187" i="3" s="1"/>
  <c r="D186" i="3"/>
  <c r="E186" i="3" s="1"/>
  <c r="D185" i="3"/>
  <c r="E185" i="3" s="1"/>
  <c r="E183" i="3"/>
  <c r="D183" i="3"/>
  <c r="D182" i="3"/>
  <c r="E182" i="3" s="1"/>
  <c r="D181" i="3"/>
  <c r="E181" i="3" s="1"/>
  <c r="D180" i="3"/>
  <c r="E180" i="3" s="1"/>
  <c r="D179" i="3"/>
  <c r="E179" i="3" s="1"/>
  <c r="D178" i="3"/>
  <c r="E178" i="3" s="1"/>
  <c r="D177" i="3"/>
  <c r="E177" i="3" s="1"/>
  <c r="D175" i="3"/>
  <c r="D174" i="3"/>
  <c r="E174" i="3" s="1"/>
  <c r="D173" i="3"/>
  <c r="E173" i="3" s="1"/>
  <c r="D172" i="3"/>
  <c r="E172" i="3" s="1"/>
  <c r="D171" i="3"/>
  <c r="E171" i="3" s="1"/>
  <c r="D170" i="3"/>
  <c r="E170" i="3" s="1"/>
  <c r="D169" i="3"/>
  <c r="E169" i="3" s="1"/>
  <c r="D168" i="3"/>
  <c r="E168" i="3" s="1"/>
  <c r="D167" i="3"/>
  <c r="E167" i="3" s="1"/>
  <c r="D165" i="3"/>
  <c r="D164" i="3"/>
  <c r="E164" i="3" s="1"/>
  <c r="D163" i="3"/>
  <c r="E163" i="3" s="1"/>
  <c r="D162" i="3"/>
  <c r="E162" i="3" s="1"/>
  <c r="D161" i="3"/>
  <c r="E161" i="3" s="1"/>
  <c r="D160" i="3"/>
  <c r="E160" i="3" s="1"/>
  <c r="D159" i="3"/>
  <c r="E159" i="3" s="1"/>
  <c r="D158" i="3"/>
  <c r="E158" i="3" s="1"/>
  <c r="D157" i="3"/>
  <c r="E157" i="3" s="1"/>
  <c r="D155" i="3"/>
  <c r="D154" i="3"/>
  <c r="E154" i="3" s="1"/>
  <c r="D153" i="3"/>
  <c r="E153" i="3" s="1"/>
  <c r="D152" i="3"/>
  <c r="E152" i="3" s="1"/>
  <c r="D150" i="3"/>
  <c r="D149" i="3"/>
  <c r="E149" i="3" s="1"/>
  <c r="D148" i="3"/>
  <c r="E148" i="3" s="1"/>
  <c r="D147" i="3"/>
  <c r="E147" i="3" s="1"/>
  <c r="D146" i="3"/>
  <c r="E146" i="3" s="1"/>
  <c r="D145" i="3"/>
  <c r="E145" i="3" s="1"/>
  <c r="D144" i="3"/>
  <c r="E144" i="3" s="1"/>
  <c r="D143" i="3"/>
  <c r="E143" i="3" s="1"/>
  <c r="D142" i="3"/>
  <c r="E142" i="3" s="1"/>
  <c r="D141" i="3"/>
  <c r="E141" i="3" s="1"/>
  <c r="D140" i="3"/>
  <c r="E140" i="3" s="1"/>
  <c r="D139" i="3"/>
  <c r="E139" i="3" s="1"/>
  <c r="D138" i="3"/>
  <c r="E138" i="3" s="1"/>
  <c r="D137" i="3"/>
  <c r="E137" i="3" s="1"/>
  <c r="D136" i="3"/>
  <c r="E136" i="3" s="1"/>
  <c r="D135" i="3"/>
  <c r="E135" i="3" s="1"/>
  <c r="D133" i="3"/>
  <c r="D132" i="3"/>
  <c r="E132" i="3" s="1"/>
  <c r="D131" i="3"/>
  <c r="E131" i="3" s="1"/>
  <c r="D130" i="3"/>
  <c r="E130" i="3" s="1"/>
  <c r="D129" i="3"/>
  <c r="E129" i="3" s="1"/>
  <c r="D128" i="3"/>
  <c r="E128" i="3" s="1"/>
  <c r="D126" i="3"/>
  <c r="D125" i="3"/>
  <c r="E125" i="3" s="1"/>
  <c r="D124" i="3"/>
  <c r="E124" i="3" s="1"/>
  <c r="D123" i="3"/>
  <c r="E123" i="3" s="1"/>
  <c r="D122" i="3"/>
  <c r="E122" i="3" s="1"/>
  <c r="D121" i="3"/>
  <c r="E121" i="3" s="1"/>
  <c r="D120" i="3"/>
  <c r="E120" i="3" s="1"/>
  <c r="D118" i="3"/>
  <c r="D117" i="3"/>
  <c r="E117" i="3" s="1"/>
  <c r="D116" i="3"/>
  <c r="E116" i="3" s="1"/>
  <c r="D115" i="3"/>
  <c r="E115" i="3" s="1"/>
  <c r="D114" i="3"/>
  <c r="E114" i="3" s="1"/>
  <c r="D113" i="3"/>
  <c r="E113" i="3" s="1"/>
  <c r="D112" i="3"/>
  <c r="E112" i="3" s="1"/>
  <c r="D111" i="3"/>
  <c r="E111" i="3" s="1"/>
  <c r="D110" i="3"/>
  <c r="E110" i="3" s="1"/>
  <c r="D108" i="3"/>
  <c r="D105" i="3"/>
  <c r="E105" i="3" s="1"/>
  <c r="D104" i="3"/>
  <c r="E104" i="3" s="1"/>
  <c r="D103" i="3"/>
  <c r="E103" i="3" s="1"/>
  <c r="E101" i="3"/>
  <c r="D101" i="3"/>
  <c r="D100" i="3"/>
  <c r="E100" i="3" s="1"/>
  <c r="D99" i="3"/>
  <c r="E99" i="3" s="1"/>
  <c r="D97" i="3"/>
  <c r="E97" i="3" s="1"/>
  <c r="D96" i="3"/>
  <c r="E96" i="3" s="1"/>
  <c r="D95" i="3"/>
  <c r="E95" i="3" s="1"/>
  <c r="D94" i="3"/>
  <c r="E94" i="3" s="1"/>
  <c r="E92" i="3"/>
  <c r="D92" i="3"/>
  <c r="D89" i="3"/>
  <c r="E89" i="3" s="1"/>
  <c r="D88" i="3"/>
  <c r="E88" i="3" s="1"/>
  <c r="D87" i="3"/>
  <c r="E87" i="3" s="1"/>
  <c r="D86" i="3"/>
  <c r="E86" i="3" s="1"/>
  <c r="D85" i="3"/>
  <c r="E85" i="3" s="1"/>
  <c r="D84" i="3"/>
  <c r="E84" i="3" s="1"/>
  <c r="E82" i="3"/>
  <c r="D82" i="3"/>
  <c r="D81" i="3"/>
  <c r="E81" i="3" s="1"/>
  <c r="E80" i="3"/>
  <c r="D79" i="3"/>
  <c r="E79" i="3" s="1"/>
  <c r="E78" i="3"/>
  <c r="D77" i="3"/>
  <c r="E77" i="3" s="1"/>
  <c r="D76" i="3"/>
  <c r="E76" i="3" s="1"/>
  <c r="D75" i="3"/>
  <c r="E75" i="3" s="1"/>
  <c r="D74" i="3"/>
  <c r="E74" i="3" s="1"/>
  <c r="D73" i="3"/>
  <c r="E73" i="3" s="1"/>
  <c r="D71" i="3"/>
  <c r="D70" i="3"/>
  <c r="E70" i="3" s="1"/>
  <c r="D69" i="3"/>
  <c r="E69" i="3" s="1"/>
  <c r="D68" i="3"/>
  <c r="E68" i="3" s="1"/>
  <c r="D67" i="3"/>
  <c r="E67" i="3" s="1"/>
  <c r="D66" i="3"/>
  <c r="E66" i="3" s="1"/>
  <c r="D65" i="3"/>
  <c r="E65" i="3" s="1"/>
  <c r="D63" i="3"/>
  <c r="D62" i="3"/>
  <c r="E62" i="3" s="1"/>
  <c r="D61" i="3"/>
  <c r="E61" i="3" s="1"/>
  <c r="D59" i="3"/>
  <c r="E59" i="3" s="1"/>
  <c r="D58" i="3"/>
  <c r="E58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6" i="3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E36" i="3"/>
  <c r="D36" i="3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E27" i="3"/>
  <c r="D27" i="3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E15" i="3"/>
  <c r="D15" i="3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3" i="3"/>
  <c r="E3" i="3" s="1"/>
  <c r="E2" i="3"/>
</calcChain>
</file>

<file path=xl/sharedStrings.xml><?xml version="1.0" encoding="utf-8"?>
<sst xmlns="http://schemas.openxmlformats.org/spreadsheetml/2006/main" count="503" uniqueCount="339">
  <si>
    <t>Date</t>
  </si>
  <si>
    <t>Topics</t>
  </si>
  <si>
    <t>Status</t>
  </si>
  <si>
    <t>Start Date</t>
  </si>
  <si>
    <t>End Date</t>
  </si>
  <si>
    <t>GitHub Link</t>
  </si>
  <si>
    <t>https://github.com/Shruthimalini</t>
  </si>
  <si>
    <t>Selenium Introduction</t>
  </si>
  <si>
    <t>Done</t>
  </si>
  <si>
    <t>Repository Link</t>
  </si>
  <si>
    <t>https://github.com/ShruthimaliniSelenium-Workcode</t>
  </si>
  <si>
    <t>Selenium-Get Started with Basic steps of the Selenium Web driver</t>
  </si>
  <si>
    <t>Brush up Java Concepts for Selenium Automation</t>
  </si>
  <si>
    <t>CORE JAVA in depth for Manual testers for Beginners</t>
  </si>
  <si>
    <t>Pending</t>
  </si>
  <si>
    <t>Locators Tecniques &amp; Tools to identify Objects</t>
  </si>
  <si>
    <t xml:space="preserve">Advances Locators Identification </t>
  </si>
  <si>
    <t>Selenium Webdriver-&gt;Techniques to automate Web Elements</t>
  </si>
  <si>
    <t>In Progress</t>
  </si>
  <si>
    <t>Deep Dive into Functional testing with Selenium</t>
  </si>
  <si>
    <t>Synchronization usage in Selenium webdriver</t>
  </si>
  <si>
    <t>Techniques to automate Ajax calls, Child windows and IFrames</t>
  </si>
  <si>
    <t>Real Time Excercises(End to end Programming)</t>
  </si>
  <si>
    <t>Practical Problems and Methods to handle with Selenium</t>
  </si>
  <si>
    <t>Miscellaneous topics in Selenium Webdriver</t>
  </si>
  <si>
    <t>Selenium Java Streams-Automate sort, Pagination,FIltering the Web Tables.</t>
  </si>
  <si>
    <t>Selenium 4.0-Latest Features</t>
  </si>
  <si>
    <t>Framework Part 1 - TestNG</t>
  </si>
  <si>
    <t>Learn Java object Oriented Principles needed for Framework Development.</t>
  </si>
  <si>
    <t>Framework Part 1 - Create Maven Project and repare Functional end to end test.</t>
  </si>
  <si>
    <t>Framework Part 2 - Design Patter  Page Object &amp; Factory Implementation</t>
  </si>
  <si>
    <t>Framework Part 3 - Test Configuration Methods &amp; Global Properties &amp; Parallel Runs</t>
  </si>
  <si>
    <t>Framework Part 4 - Test Strategy - Control tests, Execution Parallel Tests</t>
  </si>
  <si>
    <t>Framework Part 5 - Extent HTML reports &amp; TestNG. Listeners &amp; Thread Safe Execution.</t>
  </si>
  <si>
    <t>Framework Part 6 -  Test Executoon from Maven &amp; Integration with Jenkins CI/CD</t>
  </si>
  <si>
    <t xml:space="preserve">Framework Part 7 - Common Selenium Framework </t>
  </si>
  <si>
    <t>Framework Part 8 - Integrating Cucumber Wrapper into Selenium Framework</t>
  </si>
  <si>
    <t>GIT - Version contro tutorial</t>
  </si>
  <si>
    <t>CI/CD integration of selenium Framework with Jenkins &amp; Github</t>
  </si>
  <si>
    <t>Cross Browser Testing with Selenium Grid</t>
  </si>
  <si>
    <t>Understand Excel Data Driven Testing Functions with Examples</t>
  </si>
  <si>
    <t>Upload Download functionalites with Selenium Using Excel files</t>
  </si>
  <si>
    <t>Selenium 4 chrome Dev tools protocol(CDP) integration concepts</t>
  </si>
  <si>
    <t>Database conection to Selenium Test cases</t>
  </si>
  <si>
    <t>GenAI Github copilot plugin for Selenium Java framework code genaration</t>
  </si>
  <si>
    <t xml:space="preserve">File Uploading (AUTO IT) &amp; Downloading with Selenium </t>
  </si>
  <si>
    <t>Maven - Build Management tools InDepth Information</t>
  </si>
  <si>
    <t>JAVA OOPS basic for Selenium Part -1</t>
  </si>
  <si>
    <t>Core Java Tutorial Part - 2</t>
  </si>
  <si>
    <t>Core Java Tutorial Part - 3 - Collection  API</t>
  </si>
  <si>
    <t>Sub-Topic</t>
  </si>
  <si>
    <t>Course Duration</t>
  </si>
  <si>
    <t>Estimated Hours Spent</t>
  </si>
  <si>
    <t>Actual Hours Spent</t>
  </si>
  <si>
    <t>% Completion</t>
  </si>
  <si>
    <t>From Date</t>
  </si>
  <si>
    <t>To Date</t>
  </si>
  <si>
    <t>Actual Start Date</t>
  </si>
  <si>
    <t>Actual End Date</t>
  </si>
  <si>
    <t>Remarks</t>
  </si>
  <si>
    <t>Malini2905</t>
  </si>
  <si>
    <t>Selenium Features- What you need to know</t>
  </si>
  <si>
    <t>https://github.com/Malini2905/Selenium-PracticeWorkCode.git</t>
  </si>
  <si>
    <t>Selenium WebDriver Architecture Simplified</t>
  </si>
  <si>
    <t>Code Practice</t>
  </si>
  <si>
    <t>Review</t>
  </si>
  <si>
    <t>Install Java &amp; Eclipse - Setup Maven Project from Scratch</t>
  </si>
  <si>
    <t>Setting up Eclipse Maven Project with Selenium dependencies from Scratch</t>
  </si>
  <si>
    <t>Understanding the core concept of Browser driver classes and Webdriver Interface</t>
  </si>
  <si>
    <t>How to run tests in Google Chrome &amp; Importance of Chromedriver.exe file</t>
  </si>
  <si>
    <t>Troubleshooting steps if you fail to invoke chrome browser with Selenium</t>
  </si>
  <si>
    <t>Getting Started with basic Selenium WebDriver methods</t>
  </si>
  <si>
    <t>How to run tests in Firefox and Edge browser with Gecko and edge drivers</t>
  </si>
  <si>
    <t>Running the tests in Microsoft Edge browser- Importance of edge driver</t>
  </si>
  <si>
    <t>Course Strategy to learn Java basics for Selenium Automation</t>
  </si>
  <si>
    <t>Introduction to Java variables and Data types with examples</t>
  </si>
  <si>
    <t>What are Arrays in Java? How to initialize and retrieve the values of array</t>
  </si>
  <si>
    <t>Introduction to For loop to iterate over array of Strings and Integers</t>
  </si>
  <si>
    <t>Enhanced for loop declaration &amp; using Conditional statements inside the loops</t>
  </si>
  <si>
    <t>What is Arraylist and differences between Arraylist and Arrays</t>
  </si>
  <si>
    <t>Iterating over Arrays and Arraylists and its related methods</t>
  </si>
  <si>
    <t>Strings in Java - How to declare Strings &amp; Important String methods</t>
  </si>
  <si>
    <t>How to create methods and access methods using Java class objects</t>
  </si>
  <si>
    <t>Importance of locators in Selenium WebDriver to identify the elements</t>
  </si>
  <si>
    <t>Identifying the Web elements with id and name locators with example</t>
  </si>
  <si>
    <t>Introducing Class name and Css Selector locators to identify elements</t>
  </si>
  <si>
    <t>Working with Xpath and linktext locators and different ways of writing xpaths</t>
  </si>
  <si>
    <t>Building Customized Xpath and Css Selector locators based on html attributes</t>
  </si>
  <si>
    <t>Generating xpaths with parent to child tags traverse techniques</t>
  </si>
  <si>
    <t>Generating Css selectors based on regular expressions - Example</t>
  </si>
  <si>
    <t>Identifying web elements based on unique Tag name locators - example</t>
  </si>
  <si>
    <t>Generating xpaths based on the button texts on the page with the example</t>
  </si>
  <si>
    <t>Running the tests in cross browser and how to inspect objects in Edge &amp; Firefox</t>
  </si>
  <si>
    <t>Identify locators using Siblings with Xpath traverse - example</t>
  </si>
  <si>
    <t>How to Traverse from child element to parent element with xpath - Example</t>
  </si>
  <si>
    <t>Automate Browser navigations and window properties with Selenium Webdriver</t>
  </si>
  <si>
    <t>Update with latest Selenium Version - Selenium Manager (Beta)</t>
  </si>
  <si>
    <t>Handling Static dropdowns with Select webdriver API</t>
  </si>
  <si>
    <t>Updated lecture on latest Dropdown looping UI</t>
  </si>
  <si>
    <t>Handle Dynamic dropdowns with Webdriver API</t>
  </si>
  <si>
    <t>Parent-Child relationship locator to Identify the objects Uniquely</t>
  </si>
  <si>
    <t>Handling AutoSuggestive dropdowns using Selenium</t>
  </si>
  <si>
    <t>Handling Checkbox and getting the size of them with Selenium</t>
  </si>
  <si>
    <t>Importance of Assertions in Automation testing and how to use them</t>
  </si>
  <si>
    <t>Checkboxes exercise</t>
  </si>
  <si>
    <t>Handling Calendar UI in travel websites using Selenium</t>
  </si>
  <si>
    <t>Validating if UI Elements are disabled or enabled with Attributes</t>
  </si>
  <si>
    <t>UI(Dropdowns,EditBoxes,Error Valdiation) Assignment</t>
  </si>
  <si>
    <t>End to End Automation using all UI Elements with selenium</t>
  </si>
  <si>
    <t>Handling Java Alerts using Selenium Webdriver</t>
  </si>
  <si>
    <t>Code formatting and Debugging</t>
  </si>
  <si>
    <t>Problem - Adding Items into Cart for Ecommerce App</t>
  </si>
  <si>
    <t>Sending Array of Products to Cart for checkout</t>
  </si>
  <si>
    <t>Building Programming Logic to process items in array for Cart</t>
  </si>
  <si>
    <t>Debugging the code to understand how flow is being built</t>
  </si>
  <si>
    <t>Fixing the problem of inconsistent locators and making tests clean</t>
  </si>
  <si>
    <t>What is Implicit wait? Explain with real time scenario</t>
  </si>
  <si>
    <t>What is explicit wait? Explain with real time scenario</t>
  </si>
  <si>
    <t>Scenario to automate and necessity of waits in the example</t>
  </si>
  <si>
    <t>Practical examples on Implicit wait</t>
  </si>
  <si>
    <t>Practical examples on explicit waits</t>
  </si>
  <si>
    <t>Synchronization with Explicit wait - Assignment</t>
  </si>
  <si>
    <t>What is Fluent wait? Its advantages</t>
  </si>
  <si>
    <t>Building Customized methods using FLuent wait</t>
  </si>
  <si>
    <t>Practise example on Fluent wait</t>
  </si>
  <si>
    <t>Handling Ajax/Mouse Interactions</t>
  </si>
  <si>
    <t>Actions class-real time example</t>
  </si>
  <si>
    <t>Window Handle concepts-real time example</t>
  </si>
  <si>
    <t>Live Example on working with Child windows</t>
  </si>
  <si>
    <t>Window Handling Assignment</t>
  </si>
  <si>
    <t>How to handle Frames?</t>
  </si>
  <si>
    <t>Frames Techniques-real time example</t>
  </si>
  <si>
    <t>Frames Assignment</t>
  </si>
  <si>
    <t>Practise Exercise- print the links count in the Page</t>
  </si>
  <si>
    <t>Exercise 1.1-Limiting Webdriver scope</t>
  </si>
  <si>
    <t>How to open the links in Separate Tabs - Optimized solution</t>
  </si>
  <si>
    <t>Getting the Titles of child tabs with optimized while loop</t>
  </si>
  <si>
    <t>Practice Exercise- Assignment</t>
  </si>
  <si>
    <t>Handling calendar UI in Ecommerce/ Travel websites</t>
  </si>
  <si>
    <t>Generic method to handle calendar with month and date</t>
  </si>
  <si>
    <t>How to Perform Scrolling with in table and Window level using JavaScriptExecutor</t>
  </si>
  <si>
    <t>How to handle table Grids in webpage</t>
  </si>
  <si>
    <t>Parsing String and comparing with Generated Sum value -Exercise</t>
  </si>
  <si>
    <t>Web Tables Assignment</t>
  </si>
  <si>
    <t>Autocomplete Dropdown Assignment</t>
  </si>
  <si>
    <t>Handling HTTPS certifications in Automated browsers</t>
  </si>
  <si>
    <t>Explore Chrome options to set proxies,plugins &amp; paths on Chrome browser</t>
  </si>
  <si>
    <t>Maximizing window and deleting cookies</t>
  </si>
  <si>
    <t>How to take Screenshots in Selenium</t>
  </si>
  <si>
    <t>Strategy to automate the broken Links with Selenium</t>
  </si>
  <si>
    <t>Open Connection method to identify status codes of the links</t>
  </si>
  <si>
    <t>Iterate over all links in the page to validate broken Links mechanism</t>
  </si>
  <si>
    <t>Importance of Soft Assertions in Selenium WebDriver</t>
  </si>
  <si>
    <t>Important Note - Plan of learning this Section</t>
  </si>
  <si>
    <t>Learn everything about Java Streams</t>
  </si>
  <si>
    <t>Perform Web Table Sorting using Selenium Java Streams</t>
  </si>
  <si>
    <t>Build Custom Selenium methods using Streams Mapper</t>
  </si>
  <si>
    <t>Automating Pagination Scenarios to search the data using do while loop</t>
  </si>
  <si>
    <t>Filter the web table using Selenium Java streams</t>
  </si>
  <si>
    <t>Introduction to Relative Locators - Part 1</t>
  </si>
  <si>
    <t>Relative locators with real time examples</t>
  </si>
  <si>
    <t>Invoking Multiple Windows/Tabs from Selenium</t>
  </si>
  <si>
    <t>Taking WebElement Partial Screenshot with Selenium</t>
  </si>
  <si>
    <t>-Capturing Height and Width of WebElement for UX validation</t>
  </si>
  <si>
    <t>Why TestNG and Its Advantages</t>
  </si>
  <si>
    <t>Running testcases in TestNG with out Java compiler</t>
  </si>
  <si>
    <t>Importance of xml file in Testng configuration</t>
  </si>
  <si>
    <t>Prioritizing the Testcases with TestNG</t>
  </si>
  <si>
    <t>Include and Exclude Mechanism to control testcases</t>
  </si>
  <si>
    <t>Executing the Testcases at Package level with regex</t>
  </si>
  <si>
    <t>TestNg Annotations part - 1</t>
  </si>
  <si>
    <t>TestNG Annotations part - 2</t>
  </si>
  <si>
    <t>Usage of Groups functionality in TestNG</t>
  </si>
  <si>
    <t>Annotations helper attributes with examples</t>
  </si>
  <si>
    <t>Parameterising from TestNG xml file</t>
  </si>
  <si>
    <t>DataProvider Annotation -Parameterizing Testcases - 1</t>
  </si>
  <si>
    <t>DataProvider Annotation -Parameterizing Testcases-2</t>
  </si>
  <si>
    <t>Listeners Interface in TestNG framework</t>
  </si>
  <si>
    <t>Running Tests in parallel and generating Reports</t>
  </si>
  <si>
    <t xml:space="preserve">How TestNG Annotations help with Inheritance to remove boilerPlate code in Test
</t>
  </si>
  <si>
    <t>How to pass values from test through Parameterized Constructor &amp; this keyword</t>
  </si>
  <si>
    <t>Usage of Super keyword in the Constructor to pass values to Parent Class</t>
  </si>
  <si>
    <t>FAQs about Framework design</t>
  </si>
  <si>
    <t>Create new Maven Project and all Framework dependencies</t>
  </si>
  <si>
    <t xml:space="preserve">Ecommerce Application Demo which will be used in the Framework
</t>
  </si>
  <si>
    <t xml:space="preserve">Selenium Program on WebDriverManager - Login- Get Products List
</t>
  </si>
  <si>
    <t xml:space="preserve">Selenium Program to retrieve product and Add to Cart based on Java Streams
</t>
  </si>
  <si>
    <t xml:space="preserve">Implementation of explicit wait to handle application synchronously on loading
</t>
  </si>
  <si>
    <t xml:space="preserve">Logic to verify items in the cart with Streams and Checkout
</t>
  </si>
  <si>
    <t xml:space="preserve">Wrapping up end to end automation Script on Purchasing Order in Ecommerce App
</t>
  </si>
  <si>
    <t>What is Page object model? Advantages of its implementation</t>
  </si>
  <si>
    <t>Creating Page object Classes for Login Screen and migrate the test</t>
  </si>
  <si>
    <t>Implementing Action methods for Page factory web elements to implement logic</t>
  </si>
  <si>
    <t>Creating Abstract Components to reuse the common methods/code in framework</t>
  </si>
  <si>
    <t>Page object Class implementation for Product catalogue page and update test</t>
  </si>
  <si>
    <t>Speed up your test execution - Fix for Application slowness in the backend</t>
  </si>
  <si>
    <t>Creating common methods to Abstract component and extending it in Page classes</t>
  </si>
  <si>
    <t>Wrapping up the whole test with complete refactor into Page object model</t>
  </si>
  <si>
    <t>Creating Base Test which holds Common Test configuration methods</t>
  </si>
  <si>
    <t>Initialize Driver and create utility to launch App with BeforeMethod annotation</t>
  </si>
  <si>
    <t>Create new Error Validation Test as per framework Standards developed until now</t>
  </si>
  <si>
    <t>Implement Test Strategy for Framework on how tests are divided based on modules</t>
  </si>
  <si>
    <t>Create new Test methods with Dependency attribute based on Test Strategy design</t>
  </si>
  <si>
    <t>How to run tests/classes in Parallel &amp; apply Groups using TestNG.xml</t>
  </si>
  <si>
    <t>Agenda of implementing Parameterization into tests with TestNG Data provider</t>
  </si>
  <si>
    <t>Integration of Hashmap to Data provider to send the data as one Hash object</t>
  </si>
  <si>
    <t>How to read the data from Json files and create the list of Hashmaps for testing</t>
  </si>
  <si>
    <t>How to Create Screenshot Utility in Base Test class for catching Failed tests</t>
  </si>
  <si>
    <t>What are Extent reports? Quick 30 minutes Tutorial</t>
  </si>
  <si>
    <t>Integrating Extent reports to existing framework with help of TestNG listeners</t>
  </si>
  <si>
    <t>Attaching Screenshot to reports from Listeners on automatic Test failures</t>
  </si>
  <si>
    <t>concurrency problem -Implement ThreadLocal class to avoid sync issues in Tests</t>
  </si>
  <si>
    <t>IRetry Analyzer to rerun the flaky failed Selenium tests in the framework</t>
  </si>
  <si>
    <t>How to run tests in the framework from terminal using Maven commands</t>
  </si>
  <si>
    <t>Set Global Parameters using Maven commands and Update tests at run time</t>
  </si>
  <si>
    <t>Install Jenkins in the local System for CI/CD</t>
  </si>
  <si>
    <t>Integrate the Selenium framework with Jenkins and Parameterize jenkin job</t>
  </si>
  <si>
    <t>How to Run tests in headless mode and integrate the parameter in Jenkins</t>
  </si>
  <si>
    <t>Schedule Jenkin Jobs with regular expression and trigger nightly Automation jobs</t>
  </si>
  <si>
    <t>Selenium Framework Architecture Diagram - Explained</t>
  </si>
  <si>
    <t>Important Note - How much Cucumber does this course cover?</t>
  </si>
  <si>
    <t>Introduction to cucumber and its terminologies with examples</t>
  </si>
  <si>
    <t>Setting up cucumber dependencies into Framework and create feature files</t>
  </si>
  <si>
    <t>Implement Step definitions for features and understand regular expressions</t>
  </si>
  <si>
    <t>Inject Selenium code in Step definition and introduction to Tidy Gherkin Plugin</t>
  </si>
  <si>
    <t>Introduction to TestNG Test Runner to run Cucumber feature files</t>
  </si>
  <si>
    <t>Control the Cucumber feature files execution with Tags and Background keywords</t>
  </si>
  <si>
    <t>GIT- Version Control Tutorial</t>
  </si>
  <si>
    <t>Introduction to GIT</t>
  </si>
  <si>
    <t>Importance of Github and its uses</t>
  </si>
  <si>
    <t>Creating Git config and repositories</t>
  </si>
  <si>
    <t>How to push code to remote repository</t>
  </si>
  <si>
    <t>Understanding Staging and commit in git</t>
  </si>
  <si>
    <t>Add remote repository and push the committed code</t>
  </si>
  <si>
    <t>End to end working example on Git commands -1</t>
  </si>
  <si>
    <t>End to end working example on Git commands -2</t>
  </si>
  <si>
    <t>Importance of Branching in GIT</t>
  </si>
  <si>
    <t>How to resolve Merge conflicts with GIT</t>
  </si>
  <si>
    <t>What is Continuous Integration &amp; Delivery. Understand the flow</t>
  </si>
  <si>
    <t>Configure GitHub acc and push the Selenium Framework into repository</t>
  </si>
  <si>
    <t>Install Fresh Jenkins war &amp; configure necessary plugins &amp; create Selenium Job</t>
  </si>
  <si>
    <t>What is Selenium Grid? Its advantages on bringing down execution time</t>
  </si>
  <si>
    <t>Getting Started with Grid Infrastructure Setup - Create Components</t>
  </si>
  <si>
    <t>Create Node Physical machines and register with Grid-Check Grid health</t>
  </si>
  <si>
    <t>Create Selenium TestNG tests with Desired capabilities &amp; remote webdriver class</t>
  </si>
  <si>
    <t>Demo on executing the Selenium scripts in Node machines from Grid Hub</t>
  </si>
  <si>
    <t>what is Apache POI API &amp; Download Instructions</t>
  </si>
  <si>
    <t>Strategy to Access Excel Data</t>
  </si>
  <si>
    <t>Getting rows and its cells from Sheet</t>
  </si>
  <si>
    <t>Retrieving Data from Excel based on condition</t>
  </si>
  <si>
    <t>Practise Exercise- Excel Driven testing -1,2,3</t>
  </si>
  <si>
    <t>Importance of Data Provider and Excel Integration for better Data driven</t>
  </si>
  <si>
    <t>Understand Dataprovider and how it sends data in Multidimensional array=</t>
  </si>
  <si>
    <t>Get Excel dependencies and connect from java code to excel</t>
  </si>
  <si>
    <t>Live demo on integrating Excel to Dataprovider to parameterize data</t>
  </si>
  <si>
    <t>Download and uploading file using file attribute send keys with Selenium</t>
  </si>
  <si>
    <t>Handle Synchronized toast messages with explicit wait for appear &amp; disappear</t>
  </si>
  <si>
    <t>Write Smart xpath to find table row column cell based on the conditions</t>
  </si>
  <si>
    <t>Assignment on building excel utilities - You need to solve it please</t>
  </si>
  <si>
    <t>End to end solution for updating excel and uploading the file with validations</t>
  </si>
  <si>
    <t>What are Chrome Dev tools? Why do we need this for Selenium testing?</t>
  </si>
  <si>
    <t>Understand Device metrics override function to simulate browser as mobile</t>
  </si>
  <si>
    <t>Importance of executeCDP Command to construct the own CDP functions</t>
  </si>
  <si>
    <t>Localization Testing with Selenium 4 using ChromeDevTools Protocols</t>
  </si>
  <si>
    <t>How to extract Network Responses and status codes with Selenium CDP Listeners</t>
  </si>
  <si>
    <t>Intercept Network /API Responses with Selenium Chrome dev tools</t>
  </si>
  <si>
    <t>How to test failed Network request calls with Selenium CDP Commands</t>
  </si>
  <si>
    <t>Blocking unwanted Network request calls to speed up the execution with Selenium</t>
  </si>
  <si>
    <t>How to emulate network speed with Selenium Chromedevtools Integration</t>
  </si>
  <si>
    <t>Working with Basic Authentication using Selenium uriPredicate function</t>
  </si>
  <si>
    <t>How to log javascript errors from Selenium Script to console for debugging</t>
  </si>
  <si>
    <t>Steps to connect Database to Selenium Testcases</t>
  </si>
  <si>
    <t>mysql download instructions</t>
  </si>
  <si>
    <t>mySQL server connection procedure</t>
  </si>
  <si>
    <t>Creating Database in mysql server</t>
  </si>
  <si>
    <t>Creating Tables in Databases</t>
  </si>
  <si>
    <t>Jdbc odbc connection overview</t>
  </si>
  <si>
    <t>Integration of Database with JDBC API</t>
  </si>
  <si>
    <t>Steps to conect Database info to Selenium - 1,2</t>
  </si>
  <si>
    <t>Effortlessly generate Selenium Java code with in the editor using GenAI Plugins</t>
  </si>
  <si>
    <t>Handling Window Authentication pop ups with Selenium</t>
  </si>
  <si>
    <t>Examples on handling pop ups with modified webdriver url</t>
  </si>
  <si>
    <t>What is AutoIT? Installation details</t>
  </si>
  <si>
    <t>Inspecting the window objects and converting into AutoIT code</t>
  </si>
  <si>
    <t>End to End example on uploading File with AutoIT Selenium</t>
  </si>
  <si>
    <t>Steps to complete the flow to download file from Application with Selenium</t>
  </si>
  <si>
    <t>Chrome driver options to configure download path of browser</t>
  </si>
  <si>
    <t>Importance of Maven in Framework development</t>
  </si>
  <si>
    <t>Installing and configuring Maven</t>
  </si>
  <si>
    <t>Creating Maven Project and Understanding its Terminologies</t>
  </si>
  <si>
    <t>Understanding POM.xml file and its dependencies</t>
  </si>
  <si>
    <t>Importance of surefirePlugin in executing Tests</t>
  </si>
  <si>
    <t>Integration of Testng with Maven</t>
  </si>
  <si>
    <t>Switching the Tests with Maven profiling</t>
  </si>
  <si>
    <t>When should I use While loop?</t>
  </si>
  <si>
    <t>How do while loop works?</t>
  </si>
  <si>
    <t>Explanation on Nested for loops</t>
  </si>
  <si>
    <t>Practise Exercise on loops -1 { printing pyramid triangle)</t>
  </si>
  <si>
    <t>Practise Exercise - 2- Yahoo Ques : ( Inverted sequence pyramid logic program)</t>
  </si>
  <si>
    <t>What is interface?</t>
  </si>
  <si>
    <t>How java classes can take advantage of interfaces</t>
  </si>
  <si>
    <t>What are Abstract classes and how different they are from Interfaces</t>
  </si>
  <si>
    <t>Usage of inheritance in java</t>
  </si>
  <si>
    <t>Practical examples on types of inheritances</t>
  </si>
  <si>
    <t>Explaining function overloading in java with example</t>
  </si>
  <si>
    <t>How different function overriding from overloading?-Explain</t>
  </si>
  <si>
    <t>What are Arrays and their usage in Java programmes</t>
  </si>
  <si>
    <t>Ways of initializing arrays and assigning objects</t>
  </si>
  <si>
    <t>Logic Program on Multi Dimensional arrays</t>
  </si>
  <si>
    <t>Practise exercise - Print smallest number in 3*3 matrix</t>
  </si>
  <si>
    <t>Practise Exercise - Cisco Interview question on Arrays</t>
  </si>
  <si>
    <t>Date class concepts</t>
  </si>
  <si>
    <t>working with calendar objects in java</t>
  </si>
  <si>
    <t>How constructor play a crucial role</t>
  </si>
  <si>
    <t>Types of constructors and their usage</t>
  </si>
  <si>
    <t>Constrructor code download</t>
  </si>
  <si>
    <t>What is super keyword ?</t>
  </si>
  <si>
    <t>super keyword practical usage</t>
  </si>
  <si>
    <t>importance of this keyword</t>
  </si>
  <si>
    <t>Static and Non Static Importance in Java</t>
  </si>
  <si>
    <t>Final keyword in Java</t>
  </si>
  <si>
    <t>Packages and their usage in OOPS</t>
  </si>
  <si>
    <t>Types of packages and how they will help in real time</t>
  </si>
  <si>
    <t>Importance of access modifiers</t>
  </si>
  <si>
    <t>Difference between public and private modifers-With Examples</t>
  </si>
  <si>
    <t>Different kind of exceptions</t>
  </si>
  <si>
    <t>Try catch Mechanism to handle exceptions</t>
  </si>
  <si>
    <t>Importance of finally block in java</t>
  </si>
  <si>
    <t>Exception code download</t>
  </si>
  <si>
    <t>What are Java collections</t>
  </si>
  <si>
    <t>Implementation of Arrays List</t>
  </si>
  <si>
    <t>Examples of ArrayList</t>
  </si>
  <si>
    <t>Array List Code download</t>
  </si>
  <si>
    <t>Modifying and Analyzing an ArrayList</t>
  </si>
  <si>
    <t>Implementation of Set interface</t>
  </si>
  <si>
    <t>Examples of HashSet using Iterator</t>
  </si>
  <si>
    <t>Implementation of Map interface</t>
  </si>
  <si>
    <t>Code explaining hashset and hashmap</t>
  </si>
  <si>
    <t>Difference between HashMap and HashTable (Interview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</si>
</sst>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595C73"/>
      <name val="Udemy Sans"/>
      <charset val="1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5" fillId="0" borderId="0" xfId="0" applyFont="1" applyAlignment="1">
      <alignment wrapText="1"/>
    </xf>
    <xf numFmtId="20" fontId="4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8" fillId="0" borderId="0" xfId="0" applyFont="1"/>
    <xf numFmtId="0" fontId="6" fillId="0" borderId="0" xfId="0" applyFont="1"/>
    <xf numFmtId="14" fontId="6" fillId="0" borderId="0" xfId="0" applyNumberFormat="1" applyFont="1"/>
    <xf numFmtId="0" fontId="9" fillId="0" borderId="0" xfId="1" applyFont="1"/>
    <xf numFmtId="1" fontId="6" fillId="2" borderId="0" xfId="0" applyNumberFormat="1" applyFont="1" applyFill="1" applyAlignment="1">
      <alignment horizontal="center"/>
    </xf>
    <xf numFmtId="0" fontId="8" fillId="2" borderId="0" xfId="0" applyFont="1" applyFill="1"/>
    <xf numFmtId="0" fontId="5" fillId="2" borderId="0" xfId="0" applyFont="1" applyFill="1" applyAlignment="1">
      <alignment wrapText="1"/>
    </xf>
    <xf numFmtId="0" fontId="6" fillId="2" borderId="0" xfId="0" applyFont="1" applyFill="1"/>
    <xf numFmtId="14" fontId="6" fillId="2" borderId="0" xfId="0" applyNumberFormat="1" applyFont="1" applyFill="1"/>
    <xf numFmtId="0" fontId="9" fillId="2" borderId="0" xfId="1" applyFont="1" applyFill="1"/>
    <xf numFmtId="0" fontId="5" fillId="0" borderId="0" xfId="0" applyFont="1"/>
    <xf numFmtId="0" fontId="6" fillId="2" borderId="0" xfId="0" applyFont="1" applyFill="1" applyAlignment="1">
      <alignment wrapText="1"/>
    </xf>
    <xf numFmtId="0" fontId="4" fillId="0" borderId="0" xfId="0" applyFont="1"/>
    <xf numFmtId="0" fontId="5" fillId="0" borderId="0" xfId="0" quotePrefix="1" applyFont="1" applyAlignment="1">
      <alignment wrapText="1"/>
    </xf>
    <xf numFmtId="0" fontId="2" fillId="2" borderId="0" xfId="0" applyFont="1" applyFill="1"/>
    <xf numFmtId="0" fontId="7" fillId="0" borderId="0" xfId="0" applyFont="1"/>
    <xf numFmtId="0" fontId="9" fillId="0" borderId="0" xfId="1" applyFont="1" applyFill="1"/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21" fontId="6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" fillId="0" borderId="0" xfId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2" borderId="0" xfId="0" applyFont="1" applyFill="1" applyAlignment="1">
      <alignment horizontal="left"/>
    </xf>
    <xf numFmtId="14" fontId="0" fillId="0" borderId="0" xfId="0" applyNumberFormat="1"/>
    <xf numFmtId="0" fontId="6" fillId="0" borderId="0" xfId="0" applyFont="1" applyAlignment="1">
      <alignment horizontal="center"/>
    </xf>
    <xf numFmtId="1" fontId="6" fillId="0" borderId="0" xfId="0" applyNumberFormat="1" applyFont="1"/>
    <xf numFmtId="21" fontId="6" fillId="0" borderId="0" xfId="0" applyNumberFormat="1" applyFont="1"/>
    <xf numFmtId="14" fontId="6" fillId="4" borderId="0" xfId="0" applyNumberFormat="1" applyFont="1" applyFill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hruthimaliniSelenium-Workcode" TargetMode="External"/><Relationship Id="rId1" Type="http://schemas.openxmlformats.org/officeDocument/2006/relationships/hyperlink" Target="https://github.com/Shruthimalin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Malini2905" TargetMode="External"/><Relationship Id="rId1" Type="http://schemas.openxmlformats.org/officeDocument/2006/relationships/hyperlink" Target="https://github.com/Malini2905/Selenium-PracticeWorkCode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B01-2269-4130-AE08-A0F2F1B3B98A}">
  <dimension ref="A1:G39"/>
  <sheetViews>
    <sheetView topLeftCell="C1" workbookViewId="0">
      <selection activeCell="F1" sqref="F1:G2"/>
    </sheetView>
  </sheetViews>
  <sheetFormatPr defaultRowHeight="15"/>
  <cols>
    <col min="1" max="1" width="12.5703125" customWidth="1"/>
    <col min="2" max="2" width="70.140625" customWidth="1"/>
    <col min="3" max="3" width="18.42578125" customWidth="1"/>
    <col min="4" max="4" width="10.140625" bestFit="1" customWidth="1"/>
    <col min="5" max="5" width="12.5703125" customWidth="1"/>
    <col min="6" max="6" width="18.28515625" customWidth="1"/>
    <col min="7" max="7" width="47" customWidth="1"/>
  </cols>
  <sheetData>
    <row r="1" spans="1:7">
      <c r="A1" s="35" t="s">
        <v>0</v>
      </c>
      <c r="B1" s="35" t="s">
        <v>1</v>
      </c>
      <c r="C1" s="36" t="s">
        <v>2</v>
      </c>
      <c r="D1" s="37" t="s">
        <v>3</v>
      </c>
      <c r="E1" s="37" t="s">
        <v>4</v>
      </c>
      <c r="F1" t="s">
        <v>5</v>
      </c>
      <c r="G1" s="34" t="s">
        <v>6</v>
      </c>
    </row>
    <row r="2" spans="1:7">
      <c r="A2" s="38">
        <v>45826</v>
      </c>
      <c r="B2" t="s">
        <v>7</v>
      </c>
      <c r="C2" t="s">
        <v>8</v>
      </c>
      <c r="D2" s="38">
        <v>45826</v>
      </c>
      <c r="E2" s="38">
        <v>45826</v>
      </c>
      <c r="F2" t="s">
        <v>9</v>
      </c>
      <c r="G2" s="34" t="s">
        <v>10</v>
      </c>
    </row>
    <row r="3" spans="1:7">
      <c r="A3" s="38">
        <v>45827</v>
      </c>
      <c r="B3" t="s">
        <v>11</v>
      </c>
      <c r="C3" t="s">
        <v>8</v>
      </c>
      <c r="D3" s="38">
        <v>45827</v>
      </c>
      <c r="E3" s="38">
        <v>45827</v>
      </c>
    </row>
    <row r="4" spans="1:7">
      <c r="A4" s="38">
        <v>45828</v>
      </c>
      <c r="B4" t="s">
        <v>12</v>
      </c>
      <c r="C4" t="s">
        <v>8</v>
      </c>
      <c r="D4" s="38">
        <v>45828</v>
      </c>
      <c r="E4" s="38">
        <v>45828</v>
      </c>
    </row>
    <row r="5" spans="1:7">
      <c r="B5" t="s">
        <v>13</v>
      </c>
      <c r="C5" t="s">
        <v>14</v>
      </c>
    </row>
    <row r="6" spans="1:7">
      <c r="A6" s="38">
        <v>45828</v>
      </c>
      <c r="B6" t="s">
        <v>15</v>
      </c>
      <c r="C6" t="s">
        <v>8</v>
      </c>
      <c r="D6" s="38">
        <v>45828</v>
      </c>
      <c r="E6" s="38">
        <v>45828</v>
      </c>
    </row>
    <row r="7" spans="1:7">
      <c r="A7" s="38">
        <v>45837</v>
      </c>
      <c r="B7" t="s">
        <v>16</v>
      </c>
      <c r="C7" t="s">
        <v>8</v>
      </c>
      <c r="D7" s="38">
        <v>45837</v>
      </c>
      <c r="E7" s="38">
        <v>45837</v>
      </c>
    </row>
    <row r="8" spans="1:7">
      <c r="A8" s="38">
        <v>45838</v>
      </c>
      <c r="B8" t="s">
        <v>17</v>
      </c>
      <c r="C8" t="s">
        <v>18</v>
      </c>
      <c r="D8" s="38"/>
      <c r="E8" s="38"/>
    </row>
    <row r="9" spans="1:7">
      <c r="A9" s="38">
        <v>45839</v>
      </c>
      <c r="B9" t="s">
        <v>19</v>
      </c>
      <c r="C9" t="s">
        <v>14</v>
      </c>
    </row>
    <row r="10" spans="1:7">
      <c r="A10" s="38">
        <v>45839</v>
      </c>
      <c r="B10" t="s">
        <v>20</v>
      </c>
      <c r="C10" t="s">
        <v>14</v>
      </c>
    </row>
    <row r="11" spans="1:7">
      <c r="A11" s="38">
        <v>45840</v>
      </c>
      <c r="B11" t="s">
        <v>21</v>
      </c>
      <c r="C11" t="s">
        <v>14</v>
      </c>
    </row>
    <row r="12" spans="1:7">
      <c r="A12" s="38">
        <v>45841</v>
      </c>
      <c r="B12" t="s">
        <v>22</v>
      </c>
      <c r="C12" t="s">
        <v>14</v>
      </c>
    </row>
    <row r="13" spans="1:7">
      <c r="A13" s="38">
        <v>45843</v>
      </c>
      <c r="B13" t="s">
        <v>23</v>
      </c>
      <c r="C13" t="s">
        <v>14</v>
      </c>
    </row>
    <row r="14" spans="1:7">
      <c r="A14" s="38"/>
      <c r="B14" t="s">
        <v>24</v>
      </c>
      <c r="C14" t="s">
        <v>14</v>
      </c>
    </row>
    <row r="15" spans="1:7">
      <c r="B15" t="s">
        <v>25</v>
      </c>
      <c r="C15" t="s">
        <v>14</v>
      </c>
    </row>
    <row r="16" spans="1:7">
      <c r="B16" t="s">
        <v>26</v>
      </c>
      <c r="C16" t="s">
        <v>14</v>
      </c>
    </row>
    <row r="17" spans="2:3">
      <c r="B17" t="s">
        <v>27</v>
      </c>
      <c r="C17" t="s">
        <v>14</v>
      </c>
    </row>
    <row r="18" spans="2:3">
      <c r="B18" t="s">
        <v>28</v>
      </c>
      <c r="C18" t="s">
        <v>14</v>
      </c>
    </row>
    <row r="19" spans="2:3">
      <c r="B19" t="s">
        <v>29</v>
      </c>
      <c r="C19" t="s">
        <v>14</v>
      </c>
    </row>
    <row r="20" spans="2:3">
      <c r="B20" t="s">
        <v>30</v>
      </c>
      <c r="C20" t="s">
        <v>14</v>
      </c>
    </row>
    <row r="21" spans="2:3">
      <c r="B21" t="s">
        <v>31</v>
      </c>
      <c r="C21" t="s">
        <v>14</v>
      </c>
    </row>
    <row r="22" spans="2:3">
      <c r="B22" t="s">
        <v>32</v>
      </c>
      <c r="C22" t="s">
        <v>14</v>
      </c>
    </row>
    <row r="23" spans="2:3">
      <c r="B23" t="s">
        <v>33</v>
      </c>
      <c r="C23" t="s">
        <v>14</v>
      </c>
    </row>
    <row r="24" spans="2:3">
      <c r="B24" t="s">
        <v>34</v>
      </c>
      <c r="C24" t="s">
        <v>14</v>
      </c>
    </row>
    <row r="25" spans="2:3">
      <c r="B25" t="s">
        <v>35</v>
      </c>
      <c r="C25" t="s">
        <v>14</v>
      </c>
    </row>
    <row r="26" spans="2:3">
      <c r="B26" t="s">
        <v>36</v>
      </c>
      <c r="C26" t="s">
        <v>14</v>
      </c>
    </row>
    <row r="27" spans="2:3">
      <c r="B27" t="s">
        <v>37</v>
      </c>
      <c r="C27" t="s">
        <v>14</v>
      </c>
    </row>
    <row r="28" spans="2:3">
      <c r="B28" t="s">
        <v>38</v>
      </c>
      <c r="C28" t="s">
        <v>14</v>
      </c>
    </row>
    <row r="29" spans="2:3">
      <c r="B29" t="s">
        <v>39</v>
      </c>
      <c r="C29" t="s">
        <v>14</v>
      </c>
    </row>
    <row r="30" spans="2:3">
      <c r="B30" t="s">
        <v>40</v>
      </c>
      <c r="C30" t="s">
        <v>14</v>
      </c>
    </row>
    <row r="31" spans="2:3">
      <c r="B31" t="s">
        <v>41</v>
      </c>
      <c r="C31" t="s">
        <v>14</v>
      </c>
    </row>
    <row r="32" spans="2:3">
      <c r="B32" t="s">
        <v>42</v>
      </c>
      <c r="C32" t="s">
        <v>14</v>
      </c>
    </row>
    <row r="33" spans="2:3">
      <c r="B33" t="s">
        <v>43</v>
      </c>
      <c r="C33" t="s">
        <v>14</v>
      </c>
    </row>
    <row r="34" spans="2:3">
      <c r="B34" t="s">
        <v>44</v>
      </c>
      <c r="C34" t="s">
        <v>14</v>
      </c>
    </row>
    <row r="35" spans="2:3">
      <c r="B35" t="s">
        <v>45</v>
      </c>
      <c r="C35" t="s">
        <v>14</v>
      </c>
    </row>
    <row r="36" spans="2:3">
      <c r="B36" t="s">
        <v>46</v>
      </c>
      <c r="C36" t="s">
        <v>14</v>
      </c>
    </row>
    <row r="37" spans="2:3">
      <c r="B37" t="s">
        <v>47</v>
      </c>
      <c r="C37" t="s">
        <v>14</v>
      </c>
    </row>
    <row r="38" spans="2:3">
      <c r="B38" t="s">
        <v>48</v>
      </c>
      <c r="C38" t="s">
        <v>14</v>
      </c>
    </row>
    <row r="39" spans="2:3">
      <c r="B39" t="s">
        <v>49</v>
      </c>
      <c r="C39" t="s">
        <v>14</v>
      </c>
    </row>
  </sheetData>
  <hyperlinks>
    <hyperlink ref="G1" r:id="rId1" xr:uid="{BA6D7FA1-F322-4C33-A375-33A8F2FB4B7B}"/>
    <hyperlink ref="G2" r:id="rId2" xr:uid="{F4E60696-4B56-4D7A-A4F9-AF18760AEC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8244-80B1-4395-B950-7E407BA06B6B}">
  <dimension ref="A1:O369"/>
  <sheetViews>
    <sheetView tabSelected="1" workbookViewId="0">
      <pane xSplit="1" ySplit="1" topLeftCell="C42" activePane="bottomRight" state="frozen"/>
      <selection pane="bottomRight" activeCell="I47" sqref="I47"/>
      <selection pane="bottomLeft"/>
      <selection pane="topRight"/>
    </sheetView>
  </sheetViews>
  <sheetFormatPr defaultRowHeight="15.75"/>
  <cols>
    <col min="1" max="1" width="4.85546875" style="8" customWidth="1"/>
    <col min="2" max="2" width="82.85546875" style="10" bestFit="1" customWidth="1"/>
    <col min="3" max="3" width="71.85546875" style="10" customWidth="1"/>
    <col min="4" max="4" width="16.7109375" style="7" bestFit="1" customWidth="1"/>
    <col min="5" max="5" width="23.140625" style="33" bestFit="1" customWidth="1"/>
    <col min="6" max="6" width="19.42578125" style="10" bestFit="1" customWidth="1"/>
    <col min="7" max="7" width="14.42578125" style="10" bestFit="1" customWidth="1"/>
    <col min="8" max="9" width="11.85546875" style="10" bestFit="1" customWidth="1"/>
    <col min="10" max="10" width="17.28515625" style="10" bestFit="1" customWidth="1"/>
    <col min="11" max="11" width="16.28515625" style="10" bestFit="1" customWidth="1"/>
    <col min="12" max="12" width="7.28515625" style="10" bestFit="1" customWidth="1"/>
    <col min="13" max="13" width="47" style="10" customWidth="1"/>
    <col min="14" max="14" width="37.7109375" style="10" customWidth="1"/>
    <col min="15" max="16384" width="9.140625" style="10"/>
  </cols>
  <sheetData>
    <row r="1" spans="1:15" s="7" customFormat="1">
      <c r="A1" s="5"/>
      <c r="B1" s="6" t="s">
        <v>1</v>
      </c>
      <c r="C1" s="6" t="s">
        <v>50</v>
      </c>
      <c r="D1" s="26" t="s">
        <v>51</v>
      </c>
      <c r="E1" s="27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2</v>
      </c>
      <c r="M1" s="6" t="s">
        <v>59</v>
      </c>
      <c r="N1" t="s">
        <v>5</v>
      </c>
      <c r="O1" s="34" t="s">
        <v>60</v>
      </c>
    </row>
    <row r="2" spans="1:15" ht="15.75" customHeight="1">
      <c r="A2" s="8">
        <v>1</v>
      </c>
      <c r="B2" s="9" t="s">
        <v>7</v>
      </c>
      <c r="C2" s="2" t="s">
        <v>61</v>
      </c>
      <c r="D2" s="28" t="str">
        <f>TEXT(10/1440, "hh:mm:ss")</f>
        <v>00:10:00</v>
      </c>
      <c r="E2" s="29">
        <f>D2*3</f>
        <v>2.0833333333333332E-2</v>
      </c>
      <c r="F2" s="41">
        <v>6.9444444444444441E-3</v>
      </c>
      <c r="G2" s="40">
        <v>100</v>
      </c>
      <c r="H2" s="11">
        <v>45861</v>
      </c>
      <c r="I2" s="11">
        <v>45861</v>
      </c>
      <c r="J2" s="11">
        <v>45861</v>
      </c>
      <c r="K2" s="11">
        <v>45861</v>
      </c>
      <c r="L2" s="39" t="s">
        <v>8</v>
      </c>
      <c r="M2" s="12"/>
      <c r="N2" t="s">
        <v>9</v>
      </c>
      <c r="O2" s="34" t="s">
        <v>62</v>
      </c>
    </row>
    <row r="3" spans="1:15" ht="15.75" customHeight="1">
      <c r="B3" s="9"/>
      <c r="C3" s="2" t="s">
        <v>63</v>
      </c>
      <c r="D3" s="28" t="str">
        <f>TEXT(10/1440, "hh:mm:ss")</f>
        <v>00:10:00</v>
      </c>
      <c r="E3" s="29">
        <f>D3*3</f>
        <v>2.0833333333333332E-2</v>
      </c>
      <c r="F3" s="41">
        <v>1.3888888888888888E-2</v>
      </c>
      <c r="G3" s="10">
        <v>100</v>
      </c>
      <c r="H3" s="11">
        <v>45861</v>
      </c>
      <c r="I3" s="11">
        <v>45861</v>
      </c>
      <c r="J3" s="11">
        <v>45861</v>
      </c>
      <c r="K3" s="11">
        <v>45861</v>
      </c>
      <c r="L3" s="39" t="s">
        <v>8</v>
      </c>
      <c r="M3" s="12"/>
    </row>
    <row r="4" spans="1:15" ht="15.75" customHeight="1">
      <c r="C4" s="1" t="s">
        <v>64</v>
      </c>
      <c r="D4" s="28"/>
      <c r="E4" s="29"/>
      <c r="H4" s="11"/>
      <c r="I4" s="11"/>
      <c r="J4" s="11"/>
      <c r="K4" s="11"/>
      <c r="M4" s="12"/>
    </row>
    <row r="5" spans="1:15" ht="15.75" customHeight="1">
      <c r="C5" s="1" t="s">
        <v>65</v>
      </c>
      <c r="D5" s="28"/>
      <c r="E5" s="29"/>
      <c r="H5" s="42">
        <v>45870</v>
      </c>
      <c r="I5" s="42">
        <v>45870</v>
      </c>
      <c r="J5" s="11"/>
      <c r="K5" s="11"/>
      <c r="M5" s="12"/>
    </row>
    <row r="6" spans="1:15" ht="15.75" customHeight="1">
      <c r="A6" s="13"/>
      <c r="B6" s="14"/>
      <c r="C6" s="15"/>
      <c r="D6" s="30"/>
      <c r="E6" s="31"/>
      <c r="F6" s="16"/>
      <c r="G6" s="16"/>
      <c r="H6" s="17"/>
      <c r="I6" s="17"/>
      <c r="J6" s="17"/>
      <c r="K6" s="17"/>
      <c r="L6" s="16"/>
      <c r="M6" s="18"/>
    </row>
    <row r="7" spans="1:15" ht="15.75" customHeight="1">
      <c r="A7" s="8">
        <v>2</v>
      </c>
      <c r="B7" s="9" t="s">
        <v>11</v>
      </c>
      <c r="C7" s="2" t="s">
        <v>66</v>
      </c>
      <c r="D7" s="28" t="str">
        <f>TEXT(16.12/1440, "hh:mm:ss")</f>
        <v>00:16:07</v>
      </c>
      <c r="E7" s="32">
        <f>D7*3</f>
        <v>3.3576388888888892E-2</v>
      </c>
      <c r="F7" s="41">
        <v>0.125</v>
      </c>
      <c r="G7" s="10">
        <v>100</v>
      </c>
      <c r="H7" s="11">
        <v>45861</v>
      </c>
      <c r="I7" s="11">
        <v>45861</v>
      </c>
      <c r="J7" s="11">
        <v>45861</v>
      </c>
      <c r="K7" s="11">
        <v>45861</v>
      </c>
      <c r="L7" s="39" t="s">
        <v>8</v>
      </c>
      <c r="M7" s="12"/>
    </row>
    <row r="8" spans="1:15" ht="15.75" customHeight="1">
      <c r="C8" s="19" t="s">
        <v>67</v>
      </c>
      <c r="D8" s="28" t="str">
        <f>TEXT(13.37/1440, "hh:mm:ss")</f>
        <v>00:13:22</v>
      </c>
      <c r="E8" s="32">
        <f>D8*3</f>
        <v>2.7847222222222225E-2</v>
      </c>
      <c r="F8" s="41">
        <v>8.3333333333333329E-2</v>
      </c>
      <c r="G8" s="10">
        <v>100</v>
      </c>
      <c r="H8" s="11">
        <v>45861</v>
      </c>
      <c r="I8" s="11">
        <v>45861</v>
      </c>
      <c r="J8" s="11">
        <v>45861</v>
      </c>
      <c r="K8" s="11">
        <v>45861</v>
      </c>
      <c r="L8" s="39" t="s">
        <v>8</v>
      </c>
    </row>
    <row r="9" spans="1:15" ht="15.75" customHeight="1">
      <c r="C9" s="19" t="s">
        <v>68</v>
      </c>
      <c r="D9" s="28" t="str">
        <f>TEXT(18.08/1440, "hh:mm:ss")</f>
        <v>00:18:05</v>
      </c>
      <c r="E9" s="32">
        <f>D9*3</f>
        <v>3.7673611111111109E-2</v>
      </c>
      <c r="F9" s="41">
        <v>1.3888888888888888E-2</v>
      </c>
      <c r="G9" s="10">
        <v>100</v>
      </c>
      <c r="H9" s="11">
        <v>45862</v>
      </c>
      <c r="I9" s="11">
        <v>45862</v>
      </c>
      <c r="J9" s="11">
        <v>45862</v>
      </c>
      <c r="K9" s="11">
        <v>45862</v>
      </c>
      <c r="L9" s="39" t="s">
        <v>8</v>
      </c>
    </row>
    <row r="10" spans="1:15" ht="15.75" customHeight="1">
      <c r="C10" s="19" t="s">
        <v>69</v>
      </c>
      <c r="D10" s="28" t="str">
        <f>TEXT(11.6/1440, "hh:mm:ss")</f>
        <v>00:11:36</v>
      </c>
      <c r="E10" s="32">
        <f>D10*3</f>
        <v>2.4166666666666666E-2</v>
      </c>
      <c r="F10" s="41">
        <v>3.4722222222222224E-2</v>
      </c>
      <c r="G10" s="10">
        <v>100</v>
      </c>
      <c r="H10" s="11">
        <v>45862</v>
      </c>
      <c r="I10" s="11">
        <v>45862</v>
      </c>
      <c r="J10" s="11">
        <v>45862</v>
      </c>
      <c r="K10" s="11">
        <v>45862</v>
      </c>
      <c r="L10" s="39" t="s">
        <v>8</v>
      </c>
    </row>
    <row r="11" spans="1:15" ht="15.75" customHeight="1">
      <c r="C11" s="19" t="s">
        <v>70</v>
      </c>
      <c r="D11" s="28" t="str">
        <f>TEXT(0.3/1440, "hh:mm:ss")</f>
        <v>00:00:18</v>
      </c>
      <c r="E11" s="32">
        <f>D11*3</f>
        <v>6.2500000000000001E-4</v>
      </c>
      <c r="F11" s="41">
        <v>2.0833333333333332E-2</v>
      </c>
      <c r="G11" s="10">
        <v>100</v>
      </c>
      <c r="H11" s="11">
        <v>45862</v>
      </c>
      <c r="I11" s="11">
        <v>45862</v>
      </c>
      <c r="J11" s="11">
        <v>45862</v>
      </c>
      <c r="K11" s="11">
        <v>45862</v>
      </c>
      <c r="L11" s="39" t="s">
        <v>8</v>
      </c>
    </row>
    <row r="12" spans="1:15" ht="15.75" customHeight="1">
      <c r="C12" s="2" t="s">
        <v>71</v>
      </c>
      <c r="D12" s="28" t="str">
        <f>TEXT(10.53/1440, "hh:mm:ss")</f>
        <v>00:10:32</v>
      </c>
      <c r="E12" s="32">
        <f>D12*3</f>
        <v>2.1944444444444444E-2</v>
      </c>
      <c r="F12" s="41">
        <v>1.3888888888888888E-2</v>
      </c>
      <c r="G12" s="10">
        <v>100</v>
      </c>
      <c r="H12" s="11">
        <v>45862</v>
      </c>
      <c r="I12" s="11">
        <v>45862</v>
      </c>
      <c r="J12" s="11">
        <v>45862</v>
      </c>
      <c r="K12" s="11">
        <v>45862</v>
      </c>
      <c r="L12" s="39" t="s">
        <v>8</v>
      </c>
    </row>
    <row r="13" spans="1:15" ht="15.75" customHeight="1">
      <c r="C13" s="19" t="s">
        <v>72</v>
      </c>
      <c r="D13" s="28" t="str">
        <f>TEXT(6.1/1440, "hh:mm:ss")</f>
        <v>00:06:06</v>
      </c>
      <c r="E13" s="32">
        <f>D13*3</f>
        <v>1.2708333333333335E-2</v>
      </c>
      <c r="F13" s="41">
        <v>1.0416666666666666E-2</v>
      </c>
      <c r="G13" s="10">
        <v>100</v>
      </c>
      <c r="H13" s="11">
        <v>45862</v>
      </c>
      <c r="I13" s="11">
        <v>45862</v>
      </c>
      <c r="J13" s="11">
        <v>45862</v>
      </c>
      <c r="K13" s="11">
        <v>45862</v>
      </c>
      <c r="L13" s="39" t="s">
        <v>8</v>
      </c>
    </row>
    <row r="14" spans="1:15" ht="15.75" customHeight="1">
      <c r="C14" s="2" t="s">
        <v>73</v>
      </c>
      <c r="D14" s="28" t="str">
        <f>TEXT(6.11/1440, "hh:mm:ss")</f>
        <v>00:06:07</v>
      </c>
      <c r="E14" s="32">
        <f>D14*3</f>
        <v>1.2743055555555556E-2</v>
      </c>
      <c r="F14" s="41">
        <v>1.0416666666666666E-2</v>
      </c>
      <c r="G14" s="10">
        <v>100</v>
      </c>
      <c r="H14" s="11">
        <v>45862</v>
      </c>
      <c r="I14" s="11">
        <v>45862</v>
      </c>
      <c r="J14" s="11">
        <v>45862</v>
      </c>
      <c r="K14" s="11">
        <v>45862</v>
      </c>
      <c r="L14" s="39" t="s">
        <v>8</v>
      </c>
    </row>
    <row r="15" spans="1:15" ht="15.75" customHeight="1">
      <c r="C15" s="1" t="s">
        <v>64</v>
      </c>
      <c r="D15" s="28" t="str">
        <f>TEXT(60/1440, "hh:mm:ss")</f>
        <v>01:00:00</v>
      </c>
      <c r="E15" s="32" t="str">
        <f>TEXT(60/1440, "hh:mm:ss")</f>
        <v>01:00:00</v>
      </c>
      <c r="F15" s="41">
        <v>4.1666666666666664E-2</v>
      </c>
      <c r="H15" s="11"/>
      <c r="I15" s="11"/>
      <c r="J15" s="11"/>
      <c r="K15" s="11"/>
    </row>
    <row r="16" spans="1:15" ht="15.75" customHeight="1">
      <c r="C16" s="1" t="s">
        <v>65</v>
      </c>
      <c r="D16" s="28"/>
      <c r="E16" s="32"/>
      <c r="F16" s="41"/>
      <c r="H16" s="42">
        <v>45870</v>
      </c>
      <c r="I16" s="42">
        <v>45870</v>
      </c>
      <c r="J16" s="11"/>
      <c r="K16" s="11"/>
    </row>
    <row r="17" spans="1:13" ht="15.75" customHeight="1">
      <c r="A17" s="13"/>
      <c r="B17" s="14"/>
      <c r="C17" s="20"/>
      <c r="D17" s="30"/>
      <c r="E17" s="31"/>
      <c r="F17" s="16"/>
      <c r="G17" s="16"/>
      <c r="H17" s="17"/>
      <c r="I17" s="17"/>
      <c r="J17" s="17"/>
      <c r="K17" s="17"/>
      <c r="L17" s="16"/>
      <c r="M17" s="18"/>
    </row>
    <row r="18" spans="1:13" ht="15.75" customHeight="1">
      <c r="A18" s="8">
        <v>3</v>
      </c>
      <c r="B18" s="9" t="s">
        <v>12</v>
      </c>
      <c r="C18" s="2" t="s">
        <v>74</v>
      </c>
      <c r="D18" s="28" t="str">
        <f>TEXT(2.43/1440, "hh:mm:ss")</f>
        <v>00:02:26</v>
      </c>
      <c r="E18" s="29">
        <f>D18*3</f>
        <v>5.0694444444444441E-3</v>
      </c>
      <c r="F18" s="41">
        <v>4.8611111111111112E-3</v>
      </c>
      <c r="G18" s="10">
        <v>100</v>
      </c>
      <c r="H18" s="11">
        <v>45862</v>
      </c>
      <c r="I18" s="11">
        <v>45862</v>
      </c>
      <c r="J18" s="11">
        <v>45862</v>
      </c>
      <c r="K18" s="11">
        <v>45862</v>
      </c>
      <c r="L18" s="39" t="s">
        <v>8</v>
      </c>
    </row>
    <row r="19" spans="1:13" ht="15.75" customHeight="1">
      <c r="B19" s="9"/>
      <c r="C19" s="2" t="s">
        <v>75</v>
      </c>
      <c r="D19" s="28" t="str">
        <f>TEXT(9.5/1440, "hh:mm:ss")</f>
        <v>00:09:30</v>
      </c>
      <c r="E19" s="29">
        <f>D19*3</f>
        <v>1.9791666666666666E-2</v>
      </c>
      <c r="F19" s="41">
        <v>2.0833333333333332E-2</v>
      </c>
      <c r="G19" s="10">
        <v>100</v>
      </c>
      <c r="H19" s="11">
        <v>45862</v>
      </c>
      <c r="I19" s="11">
        <v>45862</v>
      </c>
      <c r="J19" s="11">
        <v>45862</v>
      </c>
      <c r="K19" s="11">
        <v>45862</v>
      </c>
      <c r="L19" s="39" t="s">
        <v>8</v>
      </c>
    </row>
    <row r="20" spans="1:13" ht="15.75" customHeight="1">
      <c r="B20" s="9"/>
      <c r="C20" s="2" t="s">
        <v>76</v>
      </c>
      <c r="D20" s="28" t="str">
        <f>TEXT(6.5/1440, "hh:mm:ss")</f>
        <v>00:06:30</v>
      </c>
      <c r="E20" s="29">
        <f>D20*3</f>
        <v>1.3541666666666665E-2</v>
      </c>
      <c r="F20" s="41">
        <v>1.7361111111111112E-2</v>
      </c>
      <c r="G20" s="10">
        <v>100</v>
      </c>
      <c r="H20" s="11">
        <v>45862</v>
      </c>
      <c r="I20" s="11">
        <v>45862</v>
      </c>
      <c r="J20" s="11">
        <v>45862</v>
      </c>
      <c r="K20" s="11">
        <v>45862</v>
      </c>
      <c r="L20" s="39" t="s">
        <v>8</v>
      </c>
    </row>
    <row r="21" spans="1:13" ht="15.75" customHeight="1">
      <c r="B21" s="9"/>
      <c r="C21" s="2" t="s">
        <v>77</v>
      </c>
      <c r="D21" s="28" t="str">
        <f>TEXT(10.5/1440, "hh:mm:ss")</f>
        <v>00:10:30</v>
      </c>
      <c r="E21" s="29">
        <f>D21*3</f>
        <v>2.1874999999999999E-2</v>
      </c>
      <c r="F21" s="41">
        <v>3.125E-2</v>
      </c>
      <c r="G21" s="10">
        <v>100</v>
      </c>
      <c r="H21" s="11">
        <v>45862</v>
      </c>
      <c r="I21" s="11">
        <v>45862</v>
      </c>
      <c r="J21" s="11">
        <v>45862</v>
      </c>
      <c r="K21" s="11">
        <v>45862</v>
      </c>
      <c r="L21" s="39" t="s">
        <v>8</v>
      </c>
    </row>
    <row r="22" spans="1:13" ht="15.75" customHeight="1">
      <c r="B22" s="9"/>
      <c r="C22" s="2" t="s">
        <v>78</v>
      </c>
      <c r="D22" s="28" t="str">
        <f>TEXT(11.5/1440, "hh:mm:ss")</f>
        <v>00:11:30</v>
      </c>
      <c r="E22" s="29">
        <f>D22*3</f>
        <v>2.3958333333333331E-2</v>
      </c>
      <c r="F22" s="41">
        <v>3.125E-2</v>
      </c>
      <c r="G22" s="10">
        <v>100</v>
      </c>
      <c r="H22" s="11">
        <v>45863</v>
      </c>
      <c r="I22" s="11">
        <v>45863</v>
      </c>
      <c r="J22" s="11">
        <v>45863</v>
      </c>
      <c r="K22" s="11">
        <v>45863</v>
      </c>
      <c r="L22" s="39" t="s">
        <v>8</v>
      </c>
    </row>
    <row r="23" spans="1:13" ht="15.75" customHeight="1">
      <c r="B23" s="9"/>
      <c r="C23" s="2" t="s">
        <v>79</v>
      </c>
      <c r="D23" s="28" t="str">
        <f>TEXT(9.5/1440, "hh:mm:ss")</f>
        <v>00:09:30</v>
      </c>
      <c r="E23" s="29">
        <f>D23*3</f>
        <v>1.9791666666666666E-2</v>
      </c>
      <c r="F23" s="41">
        <v>2.0833333333333332E-2</v>
      </c>
      <c r="G23" s="10">
        <v>100</v>
      </c>
      <c r="H23" s="11">
        <v>45863</v>
      </c>
      <c r="I23" s="11">
        <v>45863</v>
      </c>
      <c r="J23" s="11">
        <v>45863</v>
      </c>
      <c r="K23" s="11">
        <v>45863</v>
      </c>
      <c r="L23" s="39" t="s">
        <v>8</v>
      </c>
    </row>
    <row r="24" spans="1:13" ht="15.75" customHeight="1">
      <c r="B24" s="9"/>
      <c r="C24" s="2" t="s">
        <v>80</v>
      </c>
      <c r="D24" s="28" t="str">
        <f>TEXT(8/1440, "hh:mm:ss")</f>
        <v>00:08:00</v>
      </c>
      <c r="E24" s="29">
        <f>D24*3</f>
        <v>1.6666666666666666E-2</v>
      </c>
      <c r="F24" s="41">
        <v>2.4305555555555556E-2</v>
      </c>
      <c r="G24" s="10">
        <v>100</v>
      </c>
      <c r="H24" s="11">
        <v>45863</v>
      </c>
      <c r="I24" s="11">
        <v>45863</v>
      </c>
      <c r="J24" s="11">
        <v>45863</v>
      </c>
      <c r="K24" s="11">
        <v>45863</v>
      </c>
      <c r="L24" s="39" t="s">
        <v>8</v>
      </c>
    </row>
    <row r="25" spans="1:13" ht="15.75" customHeight="1">
      <c r="B25" s="9"/>
      <c r="C25" s="2" t="s">
        <v>81</v>
      </c>
      <c r="D25" s="28" t="str">
        <f>TEXT(15/1440, "hh:mm:ss")</f>
        <v>00:15:00</v>
      </c>
      <c r="E25" s="29">
        <f>D25*3</f>
        <v>3.125E-2</v>
      </c>
      <c r="F25" s="41">
        <v>3.125E-2</v>
      </c>
      <c r="G25" s="10">
        <v>100</v>
      </c>
      <c r="H25" s="11">
        <v>45863</v>
      </c>
      <c r="I25" s="11">
        <v>45863</v>
      </c>
      <c r="J25" s="11">
        <v>45863</v>
      </c>
      <c r="K25" s="11">
        <v>45863</v>
      </c>
      <c r="L25" s="39" t="s">
        <v>8</v>
      </c>
    </row>
    <row r="26" spans="1:13" ht="15.75" customHeight="1">
      <c r="B26" s="9"/>
      <c r="C26" s="2" t="s">
        <v>82</v>
      </c>
      <c r="D26" s="28" t="str">
        <f>TEXT(11/1440, "hh:mm:ss")</f>
        <v>00:11:00</v>
      </c>
      <c r="E26" s="29">
        <f>D26*3</f>
        <v>2.2916666666666665E-2</v>
      </c>
      <c r="F26" s="41">
        <v>2.4305555555555556E-2</v>
      </c>
      <c r="G26" s="10">
        <v>100</v>
      </c>
      <c r="H26" s="11">
        <v>45863</v>
      </c>
      <c r="I26" s="11">
        <v>45863</v>
      </c>
      <c r="J26" s="11">
        <v>45863</v>
      </c>
      <c r="K26" s="11">
        <v>45863</v>
      </c>
      <c r="L26" s="39" t="s">
        <v>8</v>
      </c>
    </row>
    <row r="27" spans="1:13" ht="15.75" customHeight="1">
      <c r="C27" s="1" t="s">
        <v>64</v>
      </c>
      <c r="D27" s="28" t="str">
        <f>TEXT(120/1440, "hh:mm:ss")</f>
        <v>02:00:00</v>
      </c>
      <c r="E27" s="29" t="str">
        <f>TEXT(120/1440, "hh:mm:ss")</f>
        <v>02:00:00</v>
      </c>
      <c r="F27" s="41">
        <v>8.3333333333333329E-2</v>
      </c>
      <c r="G27" s="10">
        <v>100</v>
      </c>
      <c r="H27" s="11">
        <v>45863</v>
      </c>
      <c r="I27" s="11">
        <v>45863</v>
      </c>
      <c r="J27" s="11">
        <v>45863</v>
      </c>
      <c r="K27" s="11">
        <v>45863</v>
      </c>
      <c r="L27" s="39" t="s">
        <v>8</v>
      </c>
    </row>
    <row r="28" spans="1:13" ht="15.75" customHeight="1">
      <c r="C28" s="1" t="s">
        <v>65</v>
      </c>
      <c r="D28" s="28"/>
      <c r="E28" s="29"/>
      <c r="F28" s="41"/>
      <c r="H28" s="42">
        <v>45870</v>
      </c>
      <c r="I28" s="42">
        <v>45870</v>
      </c>
      <c r="J28" s="11"/>
      <c r="K28" s="11"/>
      <c r="L28" s="39"/>
    </row>
    <row r="29" spans="1:13" ht="15.75" customHeight="1">
      <c r="A29" s="13"/>
      <c r="B29" s="14"/>
      <c r="C29" s="20"/>
      <c r="D29" s="30"/>
      <c r="E29" s="31"/>
      <c r="F29" s="16"/>
      <c r="G29" s="16"/>
      <c r="H29" s="17"/>
      <c r="I29" s="17"/>
      <c r="J29" s="17"/>
      <c r="K29" s="17"/>
      <c r="L29" s="16"/>
      <c r="M29" s="18"/>
    </row>
    <row r="30" spans="1:13" ht="15.75" customHeight="1">
      <c r="A30" s="8">
        <v>4</v>
      </c>
      <c r="B30" s="9" t="s">
        <v>15</v>
      </c>
      <c r="C30" s="2" t="s">
        <v>83</v>
      </c>
      <c r="D30" s="28" t="str">
        <f>TEXT(5/1440, "hh:mm:ss")</f>
        <v>00:05:00</v>
      </c>
      <c r="E30" s="29">
        <f>D30*3</f>
        <v>1.0416666666666666E-2</v>
      </c>
      <c r="F30" s="41">
        <v>1.0416666666666666E-2</v>
      </c>
      <c r="G30" s="10">
        <v>100</v>
      </c>
      <c r="H30" s="11">
        <v>45863</v>
      </c>
      <c r="I30" s="11">
        <v>45863</v>
      </c>
      <c r="J30" s="11">
        <v>45863</v>
      </c>
      <c r="K30" s="11">
        <v>45863</v>
      </c>
      <c r="L30" s="39" t="s">
        <v>8</v>
      </c>
    </row>
    <row r="31" spans="1:13" ht="15.75" customHeight="1">
      <c r="B31" s="9"/>
      <c r="C31" s="2" t="s">
        <v>84</v>
      </c>
      <c r="D31" s="28" t="str">
        <f>TEXT(14/1440, "hh:mm:ss")</f>
        <v>00:14:00</v>
      </c>
      <c r="E31" s="29">
        <f t="shared" ref="E31:E35" si="0">D31*3</f>
        <v>2.9166666666666667E-2</v>
      </c>
      <c r="F31" s="41">
        <v>2.0833333333333332E-2</v>
      </c>
      <c r="G31" s="10">
        <v>100</v>
      </c>
      <c r="H31" s="11">
        <v>45864</v>
      </c>
      <c r="I31" s="11">
        <v>45864</v>
      </c>
      <c r="J31" s="11">
        <v>45863</v>
      </c>
      <c r="K31" s="11">
        <v>45863</v>
      </c>
      <c r="L31" s="39" t="s">
        <v>8</v>
      </c>
    </row>
    <row r="32" spans="1:13" ht="15.75" customHeight="1">
      <c r="B32" s="9"/>
      <c r="C32" s="2" t="s">
        <v>85</v>
      </c>
      <c r="D32" s="28" t="str">
        <f>TEXT(12.1/1440, "hh:mm:ss")</f>
        <v>00:12:06</v>
      </c>
      <c r="E32" s="29">
        <f t="shared" si="0"/>
        <v>2.5208333333333333E-2</v>
      </c>
      <c r="F32" s="41">
        <v>1.0416666666666666E-2</v>
      </c>
      <c r="G32" s="10">
        <v>100</v>
      </c>
      <c r="H32" s="11">
        <v>45864</v>
      </c>
      <c r="I32" s="11">
        <v>45864</v>
      </c>
      <c r="J32" s="11">
        <v>45863</v>
      </c>
      <c r="K32" s="11">
        <v>45863</v>
      </c>
      <c r="L32" s="39" t="s">
        <v>8</v>
      </c>
    </row>
    <row r="33" spans="1:13" ht="15.75" customHeight="1">
      <c r="B33" s="9"/>
      <c r="C33" s="2" t="s">
        <v>86</v>
      </c>
      <c r="D33" s="28" t="str">
        <f>TEXT(10.32/1440, "hh:mm:ss")</f>
        <v>00:10:19</v>
      </c>
      <c r="E33" s="29">
        <f t="shared" si="0"/>
        <v>2.1493055555555553E-2</v>
      </c>
      <c r="F33" s="41">
        <v>2.7777777777777776E-2</v>
      </c>
      <c r="G33" s="10">
        <v>100</v>
      </c>
      <c r="H33" s="11">
        <v>45864</v>
      </c>
      <c r="I33" s="11">
        <v>45864</v>
      </c>
      <c r="J33" s="11">
        <v>45863</v>
      </c>
      <c r="K33" s="11">
        <v>45863</v>
      </c>
      <c r="L33" s="39" t="s">
        <v>8</v>
      </c>
    </row>
    <row r="34" spans="1:13" ht="15.75" customHeight="1">
      <c r="B34" s="9"/>
      <c r="C34" s="2" t="s">
        <v>87</v>
      </c>
      <c r="D34" s="28" t="str">
        <f>TEXT(13.2/1440, "hh:mm:ss")</f>
        <v>00:13:12</v>
      </c>
      <c r="E34" s="29">
        <f t="shared" si="0"/>
        <v>2.75E-2</v>
      </c>
      <c r="F34" s="41">
        <v>3.125E-2</v>
      </c>
      <c r="G34" s="10">
        <v>100</v>
      </c>
      <c r="H34" s="11">
        <v>45864</v>
      </c>
      <c r="I34" s="11">
        <v>45864</v>
      </c>
      <c r="J34" s="11">
        <v>45863</v>
      </c>
      <c r="K34" s="11">
        <v>45863</v>
      </c>
      <c r="L34" s="39" t="s">
        <v>8</v>
      </c>
    </row>
    <row r="35" spans="1:13" ht="15.75" customHeight="1">
      <c r="B35" s="9"/>
      <c r="C35" s="2" t="s">
        <v>88</v>
      </c>
      <c r="D35" s="28" t="str">
        <f>TEXT(14/1440, "hh:mm:ss")</f>
        <v>00:14:00</v>
      </c>
      <c r="E35" s="29">
        <f t="shared" si="0"/>
        <v>2.9166666666666667E-2</v>
      </c>
      <c r="F35" s="41">
        <v>3.125E-2</v>
      </c>
      <c r="G35" s="10">
        <v>100</v>
      </c>
      <c r="H35" s="11">
        <v>45864</v>
      </c>
      <c r="I35" s="11">
        <v>45864</v>
      </c>
      <c r="J35" s="11">
        <v>45863</v>
      </c>
      <c r="K35" s="11">
        <v>45863</v>
      </c>
      <c r="L35" s="39" t="s">
        <v>8</v>
      </c>
    </row>
    <row r="36" spans="1:13" ht="15.75" customHeight="1">
      <c r="C36" s="1" t="s">
        <v>64</v>
      </c>
      <c r="D36" s="28" t="str">
        <f>TEXT(120/1440, "hh:mm:ss")</f>
        <v>02:00:00</v>
      </c>
      <c r="E36" s="29" t="str">
        <f>TEXT(120/1440, "hh:mm:ss")</f>
        <v>02:00:00</v>
      </c>
      <c r="F36" s="41">
        <v>8.3333333333333329E-2</v>
      </c>
      <c r="G36" s="10">
        <v>100</v>
      </c>
      <c r="H36" s="11">
        <v>45864</v>
      </c>
      <c r="I36" s="11">
        <v>45864</v>
      </c>
      <c r="J36" s="11">
        <v>45863</v>
      </c>
      <c r="K36" s="11">
        <v>45863</v>
      </c>
      <c r="L36" s="39" t="s">
        <v>8</v>
      </c>
    </row>
    <row r="37" spans="1:13" ht="15.75" customHeight="1">
      <c r="C37" s="1" t="s">
        <v>65</v>
      </c>
      <c r="D37" s="28"/>
      <c r="E37" s="29"/>
      <c r="F37" s="41"/>
      <c r="H37" s="42">
        <v>45870</v>
      </c>
      <c r="I37" s="42">
        <v>45870</v>
      </c>
      <c r="J37" s="11"/>
      <c r="K37" s="11"/>
      <c r="L37" s="39"/>
    </row>
    <row r="38" spans="1:13" ht="15.75" customHeight="1">
      <c r="A38" s="13"/>
      <c r="B38" s="14"/>
      <c r="C38" s="20"/>
      <c r="D38" s="30"/>
      <c r="E38" s="31"/>
      <c r="F38" s="16"/>
      <c r="G38" s="16"/>
      <c r="H38" s="17"/>
      <c r="I38" s="17"/>
      <c r="J38" s="17"/>
      <c r="K38" s="17"/>
      <c r="L38" s="16"/>
      <c r="M38" s="18"/>
    </row>
    <row r="39" spans="1:13" ht="15.75" customHeight="1">
      <c r="A39" s="8">
        <v>5</v>
      </c>
      <c r="B39" s="9" t="s">
        <v>16</v>
      </c>
      <c r="C39" s="2" t="s">
        <v>89</v>
      </c>
      <c r="D39" s="28" t="str">
        <f>TEXT(22/1440, "hh:mm:ss")</f>
        <v>00:22:00</v>
      </c>
      <c r="E39" s="29">
        <f>D39*3</f>
        <v>4.583333333333333E-2</v>
      </c>
      <c r="F39" s="41">
        <v>4.1666666666666664E-2</v>
      </c>
      <c r="G39" s="10">
        <v>100</v>
      </c>
      <c r="H39" s="11">
        <v>45866</v>
      </c>
      <c r="I39" s="11">
        <v>45866</v>
      </c>
      <c r="J39" s="11">
        <v>45866</v>
      </c>
      <c r="K39" s="11">
        <v>45866</v>
      </c>
      <c r="L39" s="39" t="s">
        <v>8</v>
      </c>
    </row>
    <row r="40" spans="1:13" ht="15.75" customHeight="1">
      <c r="B40" s="9"/>
      <c r="C40" s="2" t="s">
        <v>90</v>
      </c>
      <c r="D40" s="28" t="str">
        <f>TEXT(18.3/1440, "hh:mm:ss")</f>
        <v>00:18:18</v>
      </c>
      <c r="E40" s="29">
        <f t="shared" ref="E40:E45" si="1">D40*3</f>
        <v>3.8124999999999999E-2</v>
      </c>
      <c r="F40" s="41">
        <v>1.3888888888888888E-2</v>
      </c>
      <c r="G40" s="10">
        <v>100</v>
      </c>
      <c r="H40" s="11">
        <v>45866</v>
      </c>
      <c r="I40" s="11">
        <v>45866</v>
      </c>
      <c r="J40" s="11">
        <v>45866</v>
      </c>
      <c r="K40" s="11">
        <v>45866</v>
      </c>
      <c r="L40" s="39" t="s">
        <v>8</v>
      </c>
    </row>
    <row r="41" spans="1:13" ht="15.75" customHeight="1">
      <c r="B41" s="9"/>
      <c r="C41" s="2" t="s">
        <v>91</v>
      </c>
      <c r="D41" s="28" t="str">
        <f>TEXT(7.03/1440, "hh:mm:ss")</f>
        <v>00:07:02</v>
      </c>
      <c r="E41" s="29">
        <f t="shared" si="1"/>
        <v>1.4652777777777778E-2</v>
      </c>
      <c r="F41" s="41">
        <v>2.0833333333333332E-2</v>
      </c>
      <c r="G41" s="10">
        <v>100</v>
      </c>
      <c r="H41" s="11">
        <v>45866</v>
      </c>
      <c r="I41" s="11">
        <v>45866</v>
      </c>
      <c r="J41" s="11">
        <v>45866</v>
      </c>
      <c r="K41" s="11">
        <v>45866</v>
      </c>
      <c r="L41" s="39" t="s">
        <v>8</v>
      </c>
    </row>
    <row r="42" spans="1:13" ht="15.75" customHeight="1">
      <c r="B42" s="9"/>
      <c r="C42" s="2" t="s">
        <v>92</v>
      </c>
      <c r="D42" s="28" t="str">
        <f>TEXT(4.15/1440, "hh:mm:ss")</f>
        <v>00:04:09</v>
      </c>
      <c r="E42" s="29">
        <f t="shared" si="1"/>
        <v>8.6458333333333335E-3</v>
      </c>
      <c r="F42" s="41">
        <v>1.0416666666666666E-2</v>
      </c>
      <c r="G42" s="10">
        <v>100</v>
      </c>
      <c r="H42" s="11">
        <v>45866</v>
      </c>
      <c r="I42" s="11">
        <v>45866</v>
      </c>
      <c r="J42" s="11">
        <v>45866</v>
      </c>
      <c r="K42" s="11">
        <v>45866</v>
      </c>
      <c r="L42" s="39" t="s">
        <v>8</v>
      </c>
    </row>
    <row r="43" spans="1:13" ht="15.75" customHeight="1">
      <c r="C43" s="2" t="s">
        <v>93</v>
      </c>
      <c r="D43" s="28" t="str">
        <f>TEXT(11.3/1440, "hh:mm:ss")</f>
        <v>00:11:18</v>
      </c>
      <c r="E43" s="29">
        <f t="shared" si="1"/>
        <v>2.3541666666666669E-2</v>
      </c>
      <c r="F43" s="41">
        <v>2.4305555555555556E-2</v>
      </c>
      <c r="G43" s="10">
        <v>100</v>
      </c>
      <c r="H43" s="11">
        <v>45866</v>
      </c>
      <c r="I43" s="11">
        <v>45866</v>
      </c>
      <c r="J43" s="11">
        <v>45866</v>
      </c>
      <c r="K43" s="11">
        <v>45866</v>
      </c>
      <c r="L43" s="39" t="s">
        <v>8</v>
      </c>
    </row>
    <row r="44" spans="1:13" ht="15.75" customHeight="1">
      <c r="B44" s="21"/>
      <c r="C44" s="19" t="s">
        <v>94</v>
      </c>
      <c r="D44" s="28" t="str">
        <f>TEXT(5/1440, "hh:mm:ss")</f>
        <v>00:05:00</v>
      </c>
      <c r="E44" s="29">
        <f t="shared" si="1"/>
        <v>1.0416666666666666E-2</v>
      </c>
      <c r="F44" s="41">
        <v>1.3888888888888888E-2</v>
      </c>
      <c r="G44" s="10">
        <v>100</v>
      </c>
      <c r="H44" s="11">
        <v>45866</v>
      </c>
      <c r="I44" s="11">
        <v>45866</v>
      </c>
      <c r="J44" s="11">
        <v>45866</v>
      </c>
      <c r="K44" s="11">
        <v>45866</v>
      </c>
      <c r="L44" s="39" t="s">
        <v>8</v>
      </c>
    </row>
    <row r="45" spans="1:13" ht="15.75" customHeight="1">
      <c r="B45" s="21"/>
      <c r="C45" s="2" t="s">
        <v>95</v>
      </c>
      <c r="D45" s="28" t="str">
        <f>TEXT(6.3/1440, "hh:mm:ss")</f>
        <v>00:06:18</v>
      </c>
      <c r="E45" s="29">
        <f t="shared" si="1"/>
        <v>1.3125000000000001E-2</v>
      </c>
      <c r="F45" s="41">
        <v>6.9444444444444441E-3</v>
      </c>
      <c r="G45" s="10">
        <v>100</v>
      </c>
      <c r="H45" s="11">
        <v>45866</v>
      </c>
      <c r="I45" s="11">
        <v>45866</v>
      </c>
      <c r="J45" s="11">
        <v>45866</v>
      </c>
      <c r="K45" s="11">
        <v>45866</v>
      </c>
      <c r="L45" s="39" t="s">
        <v>8</v>
      </c>
    </row>
    <row r="46" spans="1:13" ht="15.75" customHeight="1">
      <c r="C46" s="1" t="s">
        <v>64</v>
      </c>
      <c r="D46" s="28" t="str">
        <f>TEXT(120/1440, "hh:mm:ss")</f>
        <v>02:00:00</v>
      </c>
      <c r="E46" s="29"/>
      <c r="F46" s="41">
        <v>8.3333333333333329E-2</v>
      </c>
      <c r="G46" s="10">
        <v>100</v>
      </c>
      <c r="H46" s="11">
        <v>45866</v>
      </c>
      <c r="I46" s="11">
        <v>45866</v>
      </c>
      <c r="J46" s="11">
        <v>45866</v>
      </c>
      <c r="K46" s="11">
        <v>45866</v>
      </c>
      <c r="L46" s="39" t="s">
        <v>8</v>
      </c>
    </row>
    <row r="47" spans="1:13" ht="15.75" customHeight="1">
      <c r="C47" s="1" t="s">
        <v>65</v>
      </c>
      <c r="D47" s="28"/>
      <c r="E47" s="29"/>
      <c r="F47" s="41"/>
      <c r="H47" s="42">
        <v>45870</v>
      </c>
      <c r="I47" s="42">
        <v>45870</v>
      </c>
      <c r="J47" s="11"/>
      <c r="K47" s="11"/>
      <c r="L47" s="39"/>
    </row>
    <row r="48" spans="1:13" ht="15.75" customHeight="1">
      <c r="A48" s="13"/>
      <c r="B48" s="14"/>
      <c r="C48" s="20"/>
      <c r="D48" s="30"/>
      <c r="E48" s="31"/>
      <c r="F48" s="16"/>
      <c r="G48" s="16"/>
      <c r="H48" s="17"/>
      <c r="I48" s="17"/>
      <c r="J48" s="17"/>
      <c r="K48" s="17"/>
      <c r="L48" s="16"/>
      <c r="M48" s="18"/>
    </row>
    <row r="49" spans="1:13" ht="15.75" customHeight="1">
      <c r="A49" s="8">
        <v>6</v>
      </c>
      <c r="B49" s="9" t="s">
        <v>17</v>
      </c>
      <c r="C49" s="2" t="s">
        <v>96</v>
      </c>
      <c r="D49" s="28" t="str">
        <f>TEXT(4/1440, "hh:mm:ss")</f>
        <v>00:04:00</v>
      </c>
      <c r="E49" s="29">
        <f>D49*3</f>
        <v>8.3333333333333332E-3</v>
      </c>
      <c r="F49" s="41">
        <v>2.7777777777777779E-3</v>
      </c>
      <c r="G49" s="10">
        <v>100</v>
      </c>
      <c r="H49" s="11">
        <v>45867</v>
      </c>
      <c r="I49" s="11">
        <v>45867</v>
      </c>
      <c r="J49" s="11">
        <v>45867</v>
      </c>
      <c r="K49" s="11">
        <v>45866</v>
      </c>
      <c r="L49" s="39" t="s">
        <v>8</v>
      </c>
    </row>
    <row r="50" spans="1:13" ht="15.75" customHeight="1">
      <c r="C50" s="2" t="s">
        <v>97</v>
      </c>
      <c r="D50" s="28" t="str">
        <f>TEXT(13.3/1440, "hh:mm:ss")</f>
        <v>00:13:18</v>
      </c>
      <c r="E50" s="29">
        <f t="shared" ref="E50:E62" si="2">D50*3</f>
        <v>2.7708333333333335E-2</v>
      </c>
      <c r="F50" s="41">
        <v>2.7777777777777776E-2</v>
      </c>
      <c r="G50" s="10">
        <v>100</v>
      </c>
      <c r="H50" s="11">
        <v>45867</v>
      </c>
      <c r="I50" s="11">
        <v>45867</v>
      </c>
      <c r="J50" s="11">
        <v>45866</v>
      </c>
      <c r="K50" s="11">
        <v>45866</v>
      </c>
      <c r="L50" s="39" t="s">
        <v>8</v>
      </c>
    </row>
    <row r="51" spans="1:13" ht="15.75" customHeight="1">
      <c r="C51" s="2" t="s">
        <v>98</v>
      </c>
      <c r="D51" s="28" t="str">
        <f>TEXT(16/1440, "hh:mm:ss")</f>
        <v>00:16:00</v>
      </c>
      <c r="E51" s="29">
        <f t="shared" si="2"/>
        <v>3.3333333333333333E-2</v>
      </c>
      <c r="F51" s="41">
        <v>2.7777777777777776E-2</v>
      </c>
      <c r="G51" s="10">
        <v>100</v>
      </c>
      <c r="H51" s="11">
        <v>45867</v>
      </c>
      <c r="I51" s="11">
        <v>45867</v>
      </c>
      <c r="J51" s="11">
        <v>45866</v>
      </c>
      <c r="K51" s="11">
        <v>45866</v>
      </c>
      <c r="L51" s="39" t="s">
        <v>8</v>
      </c>
    </row>
    <row r="52" spans="1:13" ht="15.75" customHeight="1">
      <c r="C52" s="2" t="s">
        <v>99</v>
      </c>
      <c r="D52" s="28" t="str">
        <f>TEXT(18/1440, "hh:mm:ss")</f>
        <v>00:18:00</v>
      </c>
      <c r="E52" s="29">
        <f t="shared" si="2"/>
        <v>3.7500000000000006E-2</v>
      </c>
      <c r="F52" s="41">
        <v>2.7777777777777776E-2</v>
      </c>
      <c r="G52" s="10">
        <v>100</v>
      </c>
      <c r="H52" s="11">
        <v>45867</v>
      </c>
      <c r="I52" s="11">
        <v>45867</v>
      </c>
      <c r="J52" s="11">
        <v>45867</v>
      </c>
      <c r="K52" s="11">
        <v>45867</v>
      </c>
      <c r="L52" s="39" t="s">
        <v>8</v>
      </c>
    </row>
    <row r="53" spans="1:13" ht="15.75" customHeight="1">
      <c r="C53" s="2" t="s">
        <v>100</v>
      </c>
      <c r="D53" s="28" t="str">
        <f>TEXT(13.3/1440, "hh:mm:ss")</f>
        <v>00:13:18</v>
      </c>
      <c r="E53" s="29">
        <f t="shared" si="2"/>
        <v>2.7708333333333335E-2</v>
      </c>
      <c r="F53" s="41">
        <v>3.125E-2</v>
      </c>
      <c r="G53" s="10">
        <v>100</v>
      </c>
      <c r="H53" s="11">
        <v>45867</v>
      </c>
      <c r="I53" s="11">
        <v>45867</v>
      </c>
      <c r="J53" s="11">
        <v>45867</v>
      </c>
      <c r="K53" s="11">
        <v>45867</v>
      </c>
      <c r="L53" s="39" t="s">
        <v>8</v>
      </c>
    </row>
    <row r="54" spans="1:13" ht="15.75" customHeight="1">
      <c r="C54" s="2" t="s">
        <v>101</v>
      </c>
      <c r="D54" s="28" t="str">
        <f>TEXT(13/1440, "hh:mm:ss")</f>
        <v>00:13:00</v>
      </c>
      <c r="E54" s="29">
        <f t="shared" si="2"/>
        <v>2.7083333333333331E-2</v>
      </c>
      <c r="F54" s="41">
        <v>4.1666666666666664E-2</v>
      </c>
      <c r="G54" s="10">
        <v>100</v>
      </c>
      <c r="H54" s="11">
        <v>45867</v>
      </c>
      <c r="I54" s="11">
        <v>45867</v>
      </c>
      <c r="J54" s="11">
        <v>45867</v>
      </c>
      <c r="K54" s="11">
        <v>45867</v>
      </c>
      <c r="L54" s="39" t="s">
        <v>8</v>
      </c>
    </row>
    <row r="55" spans="1:13" ht="15.75" customHeight="1">
      <c r="C55" s="2" t="s">
        <v>102</v>
      </c>
      <c r="D55" s="28" t="str">
        <f>TEXT(15/1440, "hh:mm:ss")</f>
        <v>00:15:00</v>
      </c>
      <c r="E55" s="29">
        <f t="shared" si="2"/>
        <v>3.125E-2</v>
      </c>
      <c r="F55" s="41">
        <v>3.4722222222222224E-2</v>
      </c>
      <c r="G55" s="10">
        <v>100</v>
      </c>
      <c r="H55" s="11">
        <v>45867</v>
      </c>
      <c r="I55" s="11">
        <v>45867</v>
      </c>
      <c r="J55" s="11">
        <v>45867</v>
      </c>
      <c r="K55" s="11">
        <v>45867</v>
      </c>
      <c r="L55" s="39" t="s">
        <v>8</v>
      </c>
      <c r="M55" s="39"/>
    </row>
    <row r="56" spans="1:13" ht="15.75" customHeight="1">
      <c r="C56" s="2" t="s">
        <v>103</v>
      </c>
      <c r="D56" s="28" t="str">
        <f>TEXT(16/1440, "hh:mm:ss")</f>
        <v>00:16:00</v>
      </c>
      <c r="E56" s="29">
        <f t="shared" si="2"/>
        <v>3.3333333333333333E-2</v>
      </c>
      <c r="F56" s="41">
        <v>4.1666666666666664E-2</v>
      </c>
      <c r="G56" s="10">
        <v>100</v>
      </c>
      <c r="H56" s="11">
        <v>45867</v>
      </c>
      <c r="I56" s="11">
        <v>45867</v>
      </c>
      <c r="J56" s="11">
        <v>45867</v>
      </c>
      <c r="K56" s="11">
        <v>45867</v>
      </c>
      <c r="L56" s="39" t="s">
        <v>8</v>
      </c>
    </row>
    <row r="57" spans="1:13" ht="15.75" customHeight="1">
      <c r="C57" s="2" t="s">
        <v>104</v>
      </c>
      <c r="D57" s="28"/>
      <c r="E57" s="29"/>
      <c r="F57" s="41">
        <v>4.1666666666666664E-2</v>
      </c>
      <c r="H57" s="11">
        <v>45868</v>
      </c>
      <c r="I57" s="11">
        <v>45868</v>
      </c>
      <c r="J57" s="11">
        <v>45868</v>
      </c>
      <c r="K57" s="11">
        <v>45868</v>
      </c>
      <c r="L57" s="39" t="s">
        <v>8</v>
      </c>
    </row>
    <row r="58" spans="1:13" ht="15.75" customHeight="1">
      <c r="C58" s="2" t="s">
        <v>105</v>
      </c>
      <c r="D58" s="28" t="str">
        <f>TEXT(12/1440, "hh:mm:ss")</f>
        <v>00:12:00</v>
      </c>
      <c r="E58" s="29">
        <f t="shared" si="2"/>
        <v>2.5000000000000001E-2</v>
      </c>
      <c r="F58" s="41">
        <v>3.125E-2</v>
      </c>
      <c r="G58" s="10">
        <v>100</v>
      </c>
      <c r="H58" s="11">
        <v>45868</v>
      </c>
      <c r="I58" s="11">
        <v>45868</v>
      </c>
      <c r="J58" s="11">
        <v>45868</v>
      </c>
      <c r="K58" s="11">
        <v>45868</v>
      </c>
      <c r="L58" s="39" t="s">
        <v>8</v>
      </c>
    </row>
    <row r="59" spans="1:13" ht="15.75" customHeight="1">
      <c r="C59" s="2" t="s">
        <v>106</v>
      </c>
      <c r="D59" s="28" t="str">
        <f>TEXT(14/1440, "hh:mm:ss")</f>
        <v>00:14:00</v>
      </c>
      <c r="E59" s="29">
        <f t="shared" si="2"/>
        <v>2.9166666666666667E-2</v>
      </c>
      <c r="F59" s="41">
        <v>3.4722222222222224E-2</v>
      </c>
      <c r="G59" s="10">
        <v>100</v>
      </c>
      <c r="H59" s="11">
        <v>45868</v>
      </c>
      <c r="I59" s="11">
        <v>45868</v>
      </c>
      <c r="J59" s="11">
        <v>45868</v>
      </c>
      <c r="K59" s="11">
        <v>45868</v>
      </c>
      <c r="L59" s="39" t="s">
        <v>8</v>
      </c>
    </row>
    <row r="60" spans="1:13" ht="15.75" customHeight="1">
      <c r="C60" s="2" t="s">
        <v>107</v>
      </c>
      <c r="D60" s="28"/>
      <c r="E60" s="29"/>
      <c r="F60" s="41">
        <v>4.1666666666666664E-2</v>
      </c>
      <c r="G60" s="10">
        <v>100</v>
      </c>
      <c r="H60" s="11">
        <v>45868</v>
      </c>
      <c r="I60" s="11">
        <v>45868</v>
      </c>
      <c r="J60" s="11">
        <v>45868</v>
      </c>
      <c r="K60" s="11">
        <v>45868</v>
      </c>
      <c r="L60" s="39" t="s">
        <v>8</v>
      </c>
    </row>
    <row r="61" spans="1:13" ht="15.75" customHeight="1">
      <c r="C61" s="2" t="s">
        <v>108</v>
      </c>
      <c r="D61" s="28" t="str">
        <f>TEXT(17/1440, "hh:mm:ss")</f>
        <v>00:17:00</v>
      </c>
      <c r="E61" s="29">
        <f t="shared" si="2"/>
        <v>3.5416666666666666E-2</v>
      </c>
      <c r="F61" s="41">
        <v>4.1666666666666664E-2</v>
      </c>
      <c r="G61" s="10">
        <v>100</v>
      </c>
      <c r="H61" s="11">
        <v>45868</v>
      </c>
      <c r="I61" s="11">
        <v>45868</v>
      </c>
      <c r="J61" s="11">
        <v>45868</v>
      </c>
      <c r="K61" s="11">
        <v>45868</v>
      </c>
      <c r="L61" s="39" t="s">
        <v>8</v>
      </c>
    </row>
    <row r="62" spans="1:13" ht="15.75" customHeight="1">
      <c r="C62" s="2" t="s">
        <v>109</v>
      </c>
      <c r="D62" s="28" t="str">
        <f>TEXT(18.3/1440, "hh:mm:ss")</f>
        <v>00:18:18</v>
      </c>
      <c r="E62" s="29">
        <f t="shared" si="2"/>
        <v>3.8124999999999999E-2</v>
      </c>
      <c r="F62" s="41">
        <v>3.4722222222222224E-2</v>
      </c>
      <c r="G62" s="10">
        <v>100</v>
      </c>
      <c r="H62" s="11">
        <v>45868</v>
      </c>
      <c r="I62" s="11">
        <v>45868</v>
      </c>
      <c r="J62" s="11">
        <v>45868</v>
      </c>
      <c r="K62" s="11">
        <v>45868</v>
      </c>
      <c r="L62" s="39" t="s">
        <v>8</v>
      </c>
    </row>
    <row r="63" spans="1:13" ht="15.75" customHeight="1">
      <c r="C63" s="1" t="s">
        <v>64</v>
      </c>
      <c r="D63" s="28" t="str">
        <f>TEXT(180/1440, "hh:mm:ss")</f>
        <v>03:00:00</v>
      </c>
      <c r="E63" s="29">
        <v>180</v>
      </c>
      <c r="F63" s="41">
        <v>4.1666666666666664E-2</v>
      </c>
      <c r="G63" s="10">
        <v>100</v>
      </c>
      <c r="H63" s="11">
        <v>45868</v>
      </c>
      <c r="I63" s="11">
        <v>45868</v>
      </c>
      <c r="J63" s="11">
        <v>45868</v>
      </c>
      <c r="K63" s="11">
        <v>45868</v>
      </c>
      <c r="L63" s="39" t="s">
        <v>8</v>
      </c>
    </row>
    <row r="64" spans="1:13" ht="15.75" customHeight="1">
      <c r="A64" s="13"/>
      <c r="B64" s="14"/>
      <c r="C64" s="20"/>
      <c r="D64" s="30"/>
      <c r="E64" s="31"/>
      <c r="F64" s="16"/>
      <c r="G64" s="16"/>
      <c r="H64" s="17"/>
      <c r="I64" s="17"/>
      <c r="J64" s="17"/>
      <c r="K64" s="17"/>
      <c r="L64" s="16"/>
      <c r="M64" s="18"/>
    </row>
    <row r="65" spans="1:13" ht="15.75" customHeight="1">
      <c r="A65" s="8">
        <v>7</v>
      </c>
      <c r="B65" s="9" t="s">
        <v>19</v>
      </c>
      <c r="C65" s="2" t="s">
        <v>110</v>
      </c>
      <c r="D65" s="28" t="str">
        <f>TEXT(12.3/1440, "hh:mm:ss")</f>
        <v>00:12:18</v>
      </c>
      <c r="E65" s="29">
        <f>D65*3</f>
        <v>2.5624999999999998E-2</v>
      </c>
      <c r="H65" s="11">
        <v>45869</v>
      </c>
      <c r="I65" s="11">
        <v>45869</v>
      </c>
      <c r="J65" s="11"/>
      <c r="K65" s="11"/>
    </row>
    <row r="66" spans="1:13" ht="15.75" customHeight="1">
      <c r="C66" s="2" t="s">
        <v>111</v>
      </c>
      <c r="D66" s="28" t="str">
        <f>TEXT(8/1440, "hh:mm:ss")</f>
        <v>00:08:00</v>
      </c>
      <c r="E66" s="29">
        <f t="shared" ref="E66:E70" si="3">D66*3</f>
        <v>1.6666666666666666E-2</v>
      </c>
      <c r="H66" s="11">
        <v>45869</v>
      </c>
      <c r="I66" s="11">
        <v>45869</v>
      </c>
      <c r="J66" s="11"/>
      <c r="K66" s="11"/>
    </row>
    <row r="67" spans="1:13" ht="15.75" customHeight="1">
      <c r="C67" s="2" t="s">
        <v>112</v>
      </c>
      <c r="D67" s="28" t="str">
        <f>TEXT(13.3/1440, "hh:mm:ss")</f>
        <v>00:13:18</v>
      </c>
      <c r="E67" s="29">
        <f t="shared" si="3"/>
        <v>2.7708333333333335E-2</v>
      </c>
      <c r="H67" s="11">
        <v>45869</v>
      </c>
      <c r="I67" s="11">
        <v>45869</v>
      </c>
      <c r="J67" s="11"/>
      <c r="K67" s="11"/>
    </row>
    <row r="68" spans="1:13" ht="15.75" customHeight="1">
      <c r="C68" s="2" t="s">
        <v>113</v>
      </c>
      <c r="D68" s="28" t="str">
        <f>TEXT(11.3/1440, "hh:mm:ss")</f>
        <v>00:11:18</v>
      </c>
      <c r="E68" s="29">
        <f t="shared" si="3"/>
        <v>2.3541666666666669E-2</v>
      </c>
      <c r="H68" s="11">
        <v>45869</v>
      </c>
      <c r="I68" s="11">
        <v>45869</v>
      </c>
      <c r="J68" s="11"/>
      <c r="K68" s="11"/>
    </row>
    <row r="69" spans="1:13" ht="15.75" customHeight="1">
      <c r="C69" s="2" t="s">
        <v>114</v>
      </c>
      <c r="D69" s="28" t="str">
        <f>TEXT(20/1440, "hh:mm:ss")</f>
        <v>00:20:00</v>
      </c>
      <c r="E69" s="29">
        <f t="shared" si="3"/>
        <v>4.1666666666666664E-2</v>
      </c>
      <c r="H69" s="11">
        <v>45869</v>
      </c>
      <c r="I69" s="11">
        <v>45869</v>
      </c>
      <c r="J69" s="11"/>
      <c r="K69" s="11"/>
    </row>
    <row r="70" spans="1:13" ht="15.75" customHeight="1">
      <c r="C70" s="2" t="s">
        <v>115</v>
      </c>
      <c r="D70" s="28" t="str">
        <f>TEXT(13.48/1440, "hh:mm:ss")</f>
        <v>00:13:29</v>
      </c>
      <c r="E70" s="29">
        <f t="shared" si="3"/>
        <v>2.8090277777777777E-2</v>
      </c>
      <c r="H70" s="11">
        <v>45869</v>
      </c>
      <c r="I70" s="11">
        <v>45869</v>
      </c>
      <c r="J70" s="11"/>
      <c r="K70" s="11"/>
    </row>
    <row r="71" spans="1:13" ht="15.75" customHeight="1">
      <c r="C71" s="1" t="s">
        <v>64</v>
      </c>
      <c r="D71" s="28" t="str">
        <f>TEXT(120/1440, "hh:mm:ss")</f>
        <v>02:00:00</v>
      </c>
      <c r="E71" s="29">
        <v>120</v>
      </c>
      <c r="H71" s="11">
        <v>45869</v>
      </c>
      <c r="I71" s="11">
        <v>45869</v>
      </c>
      <c r="J71" s="11"/>
      <c r="K71" s="11"/>
    </row>
    <row r="72" spans="1:13" ht="15.75" customHeight="1">
      <c r="A72" s="13"/>
      <c r="B72" s="14"/>
      <c r="C72" s="20"/>
      <c r="D72" s="30"/>
      <c r="E72" s="31"/>
      <c r="F72" s="16"/>
      <c r="G72" s="16"/>
      <c r="H72" s="17"/>
      <c r="I72" s="17"/>
      <c r="J72" s="17"/>
      <c r="K72" s="17"/>
      <c r="L72" s="16"/>
      <c r="M72" s="18"/>
    </row>
    <row r="73" spans="1:13" ht="15.75" customHeight="1">
      <c r="A73" s="8">
        <v>8</v>
      </c>
      <c r="B73" s="9" t="s">
        <v>20</v>
      </c>
      <c r="C73" s="2" t="s">
        <v>116</v>
      </c>
      <c r="D73" s="28" t="str">
        <f>TEXT(11.45/1440, "hh:mm:ss")</f>
        <v>00:11:27</v>
      </c>
      <c r="E73" s="29">
        <f>D73*3</f>
        <v>2.3854166666666662E-2</v>
      </c>
      <c r="H73" s="11">
        <v>45870</v>
      </c>
      <c r="I73" s="11">
        <v>45870</v>
      </c>
      <c r="J73" s="11"/>
      <c r="K73" s="11"/>
    </row>
    <row r="74" spans="1:13" ht="15.75" customHeight="1">
      <c r="C74" s="2" t="s">
        <v>117</v>
      </c>
      <c r="D74" s="28" t="str">
        <f>TEXT(12.2/1440, "hh:mm:ss")</f>
        <v>00:12:12</v>
      </c>
      <c r="E74" s="29">
        <f t="shared" ref="E74:E81" si="4">D74*3</f>
        <v>2.5416666666666671E-2</v>
      </c>
      <c r="H74" s="11">
        <v>45870</v>
      </c>
      <c r="I74" s="11">
        <v>45870</v>
      </c>
      <c r="J74" s="11"/>
      <c r="K74" s="11"/>
    </row>
    <row r="75" spans="1:13" ht="15.75" customHeight="1">
      <c r="C75" s="2" t="s">
        <v>118</v>
      </c>
      <c r="D75" s="28" t="str">
        <f>TEXT(16/1440, "hh:mm:ss")</f>
        <v>00:16:00</v>
      </c>
      <c r="E75" s="29">
        <f t="shared" si="4"/>
        <v>3.3333333333333333E-2</v>
      </c>
      <c r="H75" s="11">
        <v>45870</v>
      </c>
      <c r="I75" s="11">
        <v>45870</v>
      </c>
      <c r="J75" s="11"/>
      <c r="K75" s="11"/>
    </row>
    <row r="76" spans="1:13" ht="15.75" customHeight="1">
      <c r="C76" s="2" t="s">
        <v>119</v>
      </c>
      <c r="D76" s="28" t="str">
        <f>TEXT(15/1440, "hh:mm:ss")</f>
        <v>00:15:00</v>
      </c>
      <c r="E76" s="29">
        <f t="shared" si="4"/>
        <v>3.125E-2</v>
      </c>
      <c r="H76" s="11">
        <v>45870</v>
      </c>
      <c r="I76" s="11">
        <v>45870</v>
      </c>
      <c r="J76" s="11"/>
      <c r="K76" s="11"/>
    </row>
    <row r="77" spans="1:13" ht="15.75" customHeight="1">
      <c r="C77" s="2" t="s">
        <v>120</v>
      </c>
      <c r="D77" s="28" t="str">
        <f>TEXT(16.1/1440, "hh:mm:ss")</f>
        <v>00:16:06</v>
      </c>
      <c r="E77" s="29">
        <f t="shared" si="4"/>
        <v>3.3541666666666664E-2</v>
      </c>
      <c r="H77" s="11">
        <v>45870</v>
      </c>
      <c r="I77" s="11">
        <v>45870</v>
      </c>
      <c r="J77" s="11"/>
      <c r="K77" s="11"/>
    </row>
    <row r="78" spans="1:13" ht="15.75" customHeight="1">
      <c r="C78" s="2" t="s">
        <v>121</v>
      </c>
      <c r="D78" s="28"/>
      <c r="E78" s="29">
        <f t="shared" si="4"/>
        <v>0</v>
      </c>
      <c r="H78" s="11">
        <v>45870</v>
      </c>
      <c r="I78" s="11">
        <v>45870</v>
      </c>
      <c r="J78" s="11"/>
      <c r="K78" s="11"/>
    </row>
    <row r="79" spans="1:13" ht="15.75" customHeight="1">
      <c r="C79" s="2" t="s">
        <v>122</v>
      </c>
      <c r="D79" s="28" t="str">
        <f>TEXT(10.3/1440, "hh:mm:ss")</f>
        <v>00:10:18</v>
      </c>
      <c r="E79" s="29">
        <f t="shared" si="4"/>
        <v>2.1458333333333333E-2</v>
      </c>
      <c r="H79" s="11">
        <v>45870</v>
      </c>
      <c r="I79" s="11">
        <v>45870</v>
      </c>
      <c r="J79" s="11"/>
      <c r="K79" s="11"/>
    </row>
    <row r="80" spans="1:13" ht="15.75" customHeight="1">
      <c r="C80" s="2" t="s">
        <v>123</v>
      </c>
      <c r="D80" s="28" t="str">
        <f>TEXT(20.9/1440, "hh:mm:ss")</f>
        <v>00:20:54</v>
      </c>
      <c r="E80" s="29">
        <f>D80*3</f>
        <v>4.3541666666666666E-2</v>
      </c>
      <c r="H80" s="11">
        <v>45870</v>
      </c>
      <c r="I80" s="11">
        <v>45870</v>
      </c>
      <c r="J80" s="11"/>
      <c r="K80" s="11"/>
    </row>
    <row r="81" spans="1:13" ht="15.75" customHeight="1">
      <c r="C81" s="2" t="s">
        <v>124</v>
      </c>
      <c r="D81" s="28" t="str">
        <f>TEXT(9/1440, "hh:mm:ss")</f>
        <v>00:09:00</v>
      </c>
      <c r="E81" s="29">
        <f t="shared" si="4"/>
        <v>1.8750000000000003E-2</v>
      </c>
      <c r="H81" s="11">
        <v>45870</v>
      </c>
      <c r="I81" s="11">
        <v>45870</v>
      </c>
      <c r="J81" s="11"/>
      <c r="K81" s="11"/>
    </row>
    <row r="82" spans="1:13" ht="15.75" customHeight="1">
      <c r="C82" s="1" t="s">
        <v>64</v>
      </c>
      <c r="D82" s="28" t="str">
        <f>TEXT(120/1440, "hh:mm:ss")</f>
        <v>02:00:00</v>
      </c>
      <c r="E82" s="29">
        <f>90</f>
        <v>90</v>
      </c>
      <c r="H82" s="11">
        <v>45870</v>
      </c>
      <c r="I82" s="11">
        <v>45870</v>
      </c>
      <c r="J82" s="11"/>
      <c r="K82" s="11"/>
    </row>
    <row r="83" spans="1:13" ht="15.75" customHeight="1">
      <c r="A83" s="13"/>
      <c r="B83" s="14"/>
      <c r="C83" s="20"/>
      <c r="D83" s="30"/>
      <c r="E83" s="31"/>
      <c r="F83" s="16"/>
      <c r="G83" s="16"/>
      <c r="H83" s="17"/>
      <c r="I83" s="17"/>
      <c r="J83" s="17"/>
      <c r="K83" s="17"/>
      <c r="L83" s="16"/>
      <c r="M83" s="18"/>
    </row>
    <row r="84" spans="1:13" ht="15.75" customHeight="1">
      <c r="A84" s="8">
        <v>9</v>
      </c>
      <c r="B84" s="9" t="s">
        <v>21</v>
      </c>
      <c r="C84" s="2" t="s">
        <v>125</v>
      </c>
      <c r="D84" s="28" t="str">
        <f>TEXT(11.1/1440, "hh:mm:ss")</f>
        <v>00:11:06</v>
      </c>
      <c r="E84" s="29">
        <f>D84*3</f>
        <v>2.3125E-2</v>
      </c>
      <c r="H84" s="11">
        <v>45870</v>
      </c>
      <c r="I84" s="11">
        <v>45870</v>
      </c>
      <c r="J84" s="11"/>
      <c r="K84" s="11"/>
    </row>
    <row r="85" spans="1:13" ht="15.75" customHeight="1">
      <c r="C85" s="2" t="s">
        <v>126</v>
      </c>
      <c r="D85" s="28" t="str">
        <f>TEXT(11.3/1440, "hh:mm:ss")</f>
        <v>00:11:18</v>
      </c>
      <c r="E85" s="29">
        <f t="shared" ref="E85:E89" si="5">D85*3</f>
        <v>2.3541666666666669E-2</v>
      </c>
      <c r="H85" s="11">
        <v>45870</v>
      </c>
      <c r="I85" s="11">
        <v>45870</v>
      </c>
      <c r="J85" s="11"/>
      <c r="K85" s="11"/>
    </row>
    <row r="86" spans="1:13" ht="15.75" customHeight="1">
      <c r="C86" s="2" t="s">
        <v>127</v>
      </c>
      <c r="D86" s="28" t="str">
        <f>TEXT(12.35/1440, "hh:mm:ss")</f>
        <v>00:12:21</v>
      </c>
      <c r="E86" s="29">
        <f t="shared" si="5"/>
        <v>2.5729166666666664E-2</v>
      </c>
      <c r="H86" s="11">
        <v>45870</v>
      </c>
      <c r="I86" s="11">
        <v>45870</v>
      </c>
      <c r="J86" s="11"/>
      <c r="K86" s="11"/>
    </row>
    <row r="87" spans="1:13" ht="15.75" customHeight="1">
      <c r="C87" s="2" t="s">
        <v>128</v>
      </c>
      <c r="D87" s="28" t="str">
        <f>TEXT(8.3/1440, "hh:mm:ss")</f>
        <v>00:08:18</v>
      </c>
      <c r="E87" s="29">
        <f t="shared" si="5"/>
        <v>1.7291666666666667E-2</v>
      </c>
      <c r="H87" s="11">
        <v>45870</v>
      </c>
      <c r="I87" s="11">
        <v>45870</v>
      </c>
      <c r="J87" s="11"/>
      <c r="K87" s="11"/>
    </row>
    <row r="88" spans="1:13" ht="15.75" customHeight="1">
      <c r="C88" s="2" t="s">
        <v>129</v>
      </c>
      <c r="D88" s="28" t="str">
        <f>TEXT(11/1440, "hh:mm:ss")</f>
        <v>00:11:00</v>
      </c>
      <c r="E88" s="29">
        <f t="shared" si="5"/>
        <v>2.2916666666666665E-2</v>
      </c>
      <c r="H88" s="11">
        <v>45870</v>
      </c>
      <c r="I88" s="11">
        <v>45870</v>
      </c>
      <c r="J88" s="11"/>
      <c r="K88" s="11"/>
    </row>
    <row r="89" spans="1:13" ht="15.75" customHeight="1">
      <c r="C89" s="2" t="s">
        <v>130</v>
      </c>
      <c r="D89" s="28" t="str">
        <f>TEXT(14.01/1440, "hh:mm:ss")</f>
        <v>00:14:01</v>
      </c>
      <c r="E89" s="29">
        <f>D89*3</f>
        <v>2.9201388888888888E-2</v>
      </c>
      <c r="H89" s="11">
        <v>45870</v>
      </c>
      <c r="I89" s="11">
        <v>45870</v>
      </c>
      <c r="J89" s="11"/>
      <c r="K89" s="11"/>
    </row>
    <row r="90" spans="1:13" ht="15.75" customHeight="1">
      <c r="C90" s="2" t="s">
        <v>131</v>
      </c>
      <c r="D90" s="28"/>
      <c r="E90" s="29"/>
    </row>
    <row r="91" spans="1:13" ht="15.75" customHeight="1">
      <c r="C91" s="2" t="s">
        <v>132</v>
      </c>
      <c r="D91" s="28"/>
      <c r="E91" s="29"/>
    </row>
    <row r="92" spans="1:13" ht="15.75" customHeight="1">
      <c r="C92" s="1" t="s">
        <v>64</v>
      </c>
      <c r="D92" s="28" t="str">
        <f>TEXT(150/1440, "hh:mm:ss")</f>
        <v>02:30:00</v>
      </c>
      <c r="E92" s="29">
        <f>150</f>
        <v>150</v>
      </c>
      <c r="H92" s="11">
        <v>45871</v>
      </c>
      <c r="I92" s="11">
        <v>45871</v>
      </c>
      <c r="J92" s="11"/>
      <c r="K92" s="11"/>
    </row>
    <row r="93" spans="1:13" ht="15.75" customHeight="1">
      <c r="A93" s="13"/>
      <c r="B93" s="14"/>
      <c r="C93" s="20"/>
      <c r="D93" s="30"/>
      <c r="E93" s="31"/>
      <c r="F93" s="16"/>
      <c r="G93" s="16"/>
      <c r="H93" s="17"/>
      <c r="I93" s="17"/>
      <c r="J93" s="17"/>
      <c r="K93" s="17"/>
      <c r="L93" s="16"/>
      <c r="M93" s="18"/>
    </row>
    <row r="94" spans="1:13" ht="15.75" customHeight="1">
      <c r="A94" s="8">
        <v>10</v>
      </c>
      <c r="B94" s="9" t="s">
        <v>22</v>
      </c>
      <c r="C94" s="2" t="s">
        <v>133</v>
      </c>
      <c r="D94" s="28" t="str">
        <f>TEXT(12.33/1440, "hh:mm:ss")</f>
        <v>00:12:20</v>
      </c>
      <c r="E94" s="29">
        <f>D94*3</f>
        <v>2.5694444444444443E-2</v>
      </c>
      <c r="H94" s="11">
        <v>45871</v>
      </c>
      <c r="I94" s="11">
        <v>45871</v>
      </c>
      <c r="J94" s="11"/>
      <c r="K94" s="11"/>
    </row>
    <row r="95" spans="1:13" ht="15.75" customHeight="1">
      <c r="C95" s="2" t="s">
        <v>134</v>
      </c>
      <c r="D95" s="28" t="str">
        <f>TEXT(13.32/1440, "hh:mm:ss")</f>
        <v>00:13:19</v>
      </c>
      <c r="E95" s="29">
        <f t="shared" ref="E95:E100" si="6">D95*3</f>
        <v>2.7743055555555556E-2</v>
      </c>
      <c r="H95" s="11">
        <v>45871</v>
      </c>
      <c r="I95" s="11">
        <v>45871</v>
      </c>
      <c r="J95" s="11"/>
      <c r="K95" s="11"/>
    </row>
    <row r="96" spans="1:13" ht="15.75" customHeight="1">
      <c r="C96" s="2" t="s">
        <v>135</v>
      </c>
      <c r="D96" s="28" t="str">
        <f>TEXT(9/1440, "hh:mm:ss")</f>
        <v>00:09:00</v>
      </c>
      <c r="E96" s="29">
        <f t="shared" si="6"/>
        <v>1.8750000000000003E-2</v>
      </c>
      <c r="H96" s="11">
        <v>45871</v>
      </c>
      <c r="I96" s="11">
        <v>45871</v>
      </c>
      <c r="J96" s="11"/>
      <c r="K96" s="11"/>
    </row>
    <row r="97" spans="1:13" ht="15.75" customHeight="1">
      <c r="C97" s="2" t="s">
        <v>136</v>
      </c>
      <c r="D97" s="28" t="str">
        <f>TEXT(14/1440, "hh:mm:ss")</f>
        <v>00:14:00</v>
      </c>
      <c r="E97" s="29">
        <f t="shared" si="6"/>
        <v>2.9166666666666667E-2</v>
      </c>
      <c r="H97" s="11">
        <v>45871</v>
      </c>
      <c r="I97" s="11">
        <v>45871</v>
      </c>
      <c r="J97" s="11"/>
      <c r="K97" s="11"/>
    </row>
    <row r="98" spans="1:13" ht="15.75" customHeight="1">
      <c r="C98" s="2" t="s">
        <v>137</v>
      </c>
      <c r="D98" s="28"/>
      <c r="E98" s="29"/>
      <c r="H98" s="11">
        <v>45871</v>
      </c>
      <c r="I98" s="11">
        <v>45871</v>
      </c>
      <c r="J98" s="11"/>
      <c r="K98" s="11"/>
    </row>
    <row r="99" spans="1:13" ht="15.75" customHeight="1">
      <c r="C99" s="2" t="s">
        <v>138</v>
      </c>
      <c r="D99" s="28" t="str">
        <f>TEXT(15.3/1440, "hh:mm:ss")</f>
        <v>00:15:18</v>
      </c>
      <c r="E99" s="29">
        <f t="shared" si="6"/>
        <v>3.1875000000000001E-2</v>
      </c>
      <c r="H99" s="11">
        <v>45871</v>
      </c>
      <c r="I99" s="11">
        <v>45871</v>
      </c>
      <c r="J99" s="11"/>
      <c r="K99" s="11"/>
    </row>
    <row r="100" spans="1:13" ht="15.75" customHeight="1">
      <c r="C100" s="2" t="s">
        <v>139</v>
      </c>
      <c r="D100" s="28" t="str">
        <f>TEXT(12.16/1440, "hh:mm:ss")</f>
        <v>00:12:10</v>
      </c>
      <c r="E100" s="29">
        <f t="shared" si="6"/>
        <v>2.5347222222222222E-2</v>
      </c>
      <c r="H100" s="11">
        <v>45873</v>
      </c>
      <c r="I100" s="11">
        <v>45873</v>
      </c>
      <c r="J100" s="11"/>
      <c r="K100" s="11"/>
    </row>
    <row r="101" spans="1:13" ht="15.75" customHeight="1">
      <c r="C101" s="1" t="s">
        <v>64</v>
      </c>
      <c r="D101" s="28" t="str">
        <f>TEXT(180/1440, "hh:mm:ss")</f>
        <v>03:00:00</v>
      </c>
      <c r="E101" s="29">
        <f>180</f>
        <v>180</v>
      </c>
      <c r="H101" s="11">
        <v>45873</v>
      </c>
      <c r="I101" s="11">
        <v>45873</v>
      </c>
      <c r="J101" s="11"/>
      <c r="K101" s="11"/>
    </row>
    <row r="102" spans="1:13" ht="15.75" customHeight="1">
      <c r="A102" s="13"/>
      <c r="B102" s="14"/>
      <c r="C102" s="20"/>
      <c r="D102" s="30"/>
      <c r="E102" s="31"/>
      <c r="F102" s="16"/>
      <c r="G102" s="16"/>
      <c r="H102" s="17"/>
      <c r="I102" s="17"/>
      <c r="J102" s="17"/>
      <c r="K102" s="17"/>
      <c r="L102" s="16"/>
      <c r="M102" s="18"/>
    </row>
    <row r="103" spans="1:13" ht="15.75" customHeight="1">
      <c r="A103" s="8">
        <v>11</v>
      </c>
      <c r="B103" s="9" t="s">
        <v>23</v>
      </c>
      <c r="C103" s="2" t="s">
        <v>140</v>
      </c>
      <c r="D103" s="28" t="str">
        <f>TEXT(12.16/1440, "hh:mm:ss")</f>
        <v>00:12:10</v>
      </c>
      <c r="E103" s="29">
        <f>D103*3</f>
        <v>2.5347222222222222E-2</v>
      </c>
      <c r="H103" s="11">
        <v>45873</v>
      </c>
      <c r="I103" s="11">
        <v>45873</v>
      </c>
      <c r="J103" s="11"/>
      <c r="K103" s="11"/>
    </row>
    <row r="104" spans="1:13" ht="15.75" customHeight="1">
      <c r="C104" s="2" t="s">
        <v>141</v>
      </c>
      <c r="D104" s="28" t="str">
        <f>TEXT(10/1440, "hh:mm:ss")</f>
        <v>00:10:00</v>
      </c>
      <c r="E104" s="29">
        <f t="shared" ref="E104:E105" si="7">D104*3</f>
        <v>2.0833333333333332E-2</v>
      </c>
      <c r="H104" s="11">
        <v>45873</v>
      </c>
      <c r="I104" s="11">
        <v>45873</v>
      </c>
      <c r="J104" s="11"/>
      <c r="K104" s="11"/>
    </row>
    <row r="105" spans="1:13" ht="15.75" customHeight="1">
      <c r="C105" s="2" t="s">
        <v>142</v>
      </c>
      <c r="D105" s="28" t="str">
        <f>TEXT(7.2/1440, "hh:mm:ss")</f>
        <v>00:07:12</v>
      </c>
      <c r="E105" s="29">
        <f t="shared" si="7"/>
        <v>1.4999999999999999E-2</v>
      </c>
      <c r="H105" s="11"/>
    </row>
    <row r="106" spans="1:13" ht="15.75" customHeight="1">
      <c r="C106" s="2" t="s">
        <v>143</v>
      </c>
      <c r="D106" s="28"/>
      <c r="E106" s="29"/>
      <c r="H106" s="11"/>
    </row>
    <row r="107" spans="1:13" ht="15.75" customHeight="1">
      <c r="C107" s="2" t="s">
        <v>144</v>
      </c>
      <c r="D107" s="28"/>
      <c r="E107" s="29"/>
      <c r="H107" s="11">
        <v>45873</v>
      </c>
      <c r="I107" s="11">
        <v>45873</v>
      </c>
      <c r="J107" s="11"/>
      <c r="K107" s="11"/>
    </row>
    <row r="108" spans="1:13" ht="15.75" customHeight="1">
      <c r="C108" s="1" t="s">
        <v>64</v>
      </c>
      <c r="D108" s="28" t="str">
        <f>TEXT(120/1440, "hh:mm:ss")</f>
        <v>02:00:00</v>
      </c>
      <c r="E108" s="29">
        <v>120</v>
      </c>
      <c r="H108" s="11">
        <v>45873</v>
      </c>
      <c r="I108" s="11">
        <v>45873</v>
      </c>
      <c r="J108" s="11"/>
      <c r="K108" s="11"/>
    </row>
    <row r="109" spans="1:13" ht="15.75" customHeight="1">
      <c r="A109" s="13"/>
      <c r="B109" s="14"/>
      <c r="C109" s="20"/>
      <c r="D109" s="30"/>
      <c r="E109" s="31"/>
      <c r="F109" s="16"/>
      <c r="G109" s="16"/>
      <c r="H109" s="17"/>
      <c r="I109" s="17"/>
      <c r="J109" s="17"/>
      <c r="K109" s="17"/>
      <c r="L109" s="16"/>
      <c r="M109" s="18"/>
    </row>
    <row r="110" spans="1:13" ht="15.75" customHeight="1">
      <c r="A110" s="8">
        <v>12</v>
      </c>
      <c r="B110" s="9" t="s">
        <v>24</v>
      </c>
      <c r="C110" s="2" t="s">
        <v>145</v>
      </c>
      <c r="D110" s="28" t="str">
        <f>TEXT(7.52/1440, "hh:mm:ss")</f>
        <v>00:07:31</v>
      </c>
      <c r="E110" s="29">
        <f>D110*3</f>
        <v>1.5659722222222221E-2</v>
      </c>
      <c r="H110" s="11">
        <v>45874</v>
      </c>
      <c r="I110" s="11">
        <v>45874</v>
      </c>
      <c r="J110" s="11"/>
      <c r="K110" s="11"/>
    </row>
    <row r="111" spans="1:13" ht="15.75" customHeight="1">
      <c r="C111" s="2" t="s">
        <v>146</v>
      </c>
      <c r="D111" s="28" t="str">
        <f>TEXT(9.46/1440, "hh:mm:ss")</f>
        <v>00:09:28</v>
      </c>
      <c r="E111" s="29">
        <f t="shared" ref="E111:E117" si="8">D111*3</f>
        <v>1.9722222222222224E-2</v>
      </c>
      <c r="H111" s="11">
        <v>45874</v>
      </c>
      <c r="I111" s="11">
        <v>45874</v>
      </c>
      <c r="J111" s="11"/>
      <c r="K111" s="11"/>
    </row>
    <row r="112" spans="1:13" ht="15.75" customHeight="1">
      <c r="C112" s="2" t="s">
        <v>147</v>
      </c>
      <c r="D112" s="28" t="str">
        <f>TEXT(9.46/1440, "hh:mm:ss")</f>
        <v>00:09:28</v>
      </c>
      <c r="E112" s="29">
        <f t="shared" si="8"/>
        <v>1.9722222222222224E-2</v>
      </c>
      <c r="H112" s="11">
        <v>45874</v>
      </c>
      <c r="I112" s="11">
        <v>45874</v>
      </c>
      <c r="J112" s="11"/>
      <c r="K112" s="11"/>
    </row>
    <row r="113" spans="1:13" ht="15.75" customHeight="1">
      <c r="C113" s="2" t="s">
        <v>148</v>
      </c>
      <c r="D113" s="28" t="str">
        <f>TEXT(12.27/1440, "hh:mm:ss")</f>
        <v>00:12:16</v>
      </c>
      <c r="E113" s="29">
        <f t="shared" si="8"/>
        <v>2.5555555555555557E-2</v>
      </c>
      <c r="H113" s="11">
        <v>45874</v>
      </c>
      <c r="I113" s="11">
        <v>45874</v>
      </c>
      <c r="J113" s="11"/>
      <c r="K113" s="11"/>
    </row>
    <row r="114" spans="1:13" ht="15.75" customHeight="1">
      <c r="C114" s="2" t="s">
        <v>149</v>
      </c>
      <c r="D114" s="28" t="str">
        <f>TEXT(13.08/1440, "hh:mm:ss")</f>
        <v>00:13:05</v>
      </c>
      <c r="E114" s="29">
        <f t="shared" si="8"/>
        <v>2.7256944444444445E-2</v>
      </c>
      <c r="H114" s="11">
        <v>45874</v>
      </c>
      <c r="I114" s="11">
        <v>45874</v>
      </c>
      <c r="J114" s="11"/>
      <c r="K114" s="11"/>
    </row>
    <row r="115" spans="1:13" ht="15.75" customHeight="1">
      <c r="C115" s="2" t="s">
        <v>150</v>
      </c>
      <c r="D115" s="28" t="str">
        <f>TEXT(8.09/1440, "hh:mm:ss")</f>
        <v>00:08:05</v>
      </c>
      <c r="E115" s="29">
        <f t="shared" si="8"/>
        <v>1.684027777777778E-2</v>
      </c>
      <c r="H115" s="11">
        <v>45874</v>
      </c>
      <c r="I115" s="11">
        <v>45874</v>
      </c>
      <c r="J115" s="11"/>
      <c r="K115" s="11"/>
    </row>
    <row r="116" spans="1:13" ht="15.75" customHeight="1">
      <c r="C116" s="2" t="s">
        <v>151</v>
      </c>
      <c r="D116" s="28" t="str">
        <f>TEXT(10.23/1440, "hh:mm:ss")</f>
        <v>00:10:14</v>
      </c>
      <c r="E116" s="29">
        <f t="shared" si="8"/>
        <v>2.1319444444444446E-2</v>
      </c>
      <c r="H116" s="11">
        <v>45874</v>
      </c>
      <c r="I116" s="11">
        <v>45874</v>
      </c>
      <c r="J116" s="11"/>
      <c r="K116" s="11"/>
    </row>
    <row r="117" spans="1:13" ht="15.75" customHeight="1">
      <c r="C117" s="2" t="s">
        <v>152</v>
      </c>
      <c r="D117" s="28" t="str">
        <f>TEXT(6/1440, "hh:mm:ss")</f>
        <v>00:06:00</v>
      </c>
      <c r="E117" s="29">
        <f t="shared" si="8"/>
        <v>1.2500000000000001E-2</v>
      </c>
      <c r="H117" s="11">
        <v>45874</v>
      </c>
      <c r="I117" s="11">
        <v>45874</v>
      </c>
      <c r="J117" s="11"/>
      <c r="K117" s="11"/>
    </row>
    <row r="118" spans="1:13" ht="15.75" customHeight="1">
      <c r="C118" s="1" t="s">
        <v>64</v>
      </c>
      <c r="D118" s="28" t="str">
        <f>TEXT(120/1440, "hh:mm:ss")</f>
        <v>02:00:00</v>
      </c>
      <c r="E118" s="29">
        <v>120</v>
      </c>
      <c r="H118" s="11">
        <v>45874</v>
      </c>
      <c r="I118" s="11">
        <v>45874</v>
      </c>
      <c r="J118" s="11"/>
      <c r="K118" s="11"/>
    </row>
    <row r="119" spans="1:13" ht="15.75" customHeight="1">
      <c r="A119" s="13"/>
      <c r="B119" s="14"/>
      <c r="C119" s="20"/>
      <c r="D119" s="30"/>
      <c r="E119" s="31"/>
      <c r="F119" s="16"/>
      <c r="G119" s="16"/>
      <c r="H119" s="17"/>
      <c r="I119" s="17"/>
      <c r="J119" s="17"/>
      <c r="K119" s="17"/>
      <c r="L119" s="16"/>
      <c r="M119" s="18"/>
    </row>
    <row r="120" spans="1:13" ht="15.75" customHeight="1">
      <c r="A120" s="8">
        <v>13</v>
      </c>
      <c r="B120" s="9" t="s">
        <v>25</v>
      </c>
      <c r="C120" s="2" t="s">
        <v>153</v>
      </c>
      <c r="D120" s="28" t="str">
        <f>TEXT(2.31/1440, "hh:mm:ss")</f>
        <v>00:02:19</v>
      </c>
      <c r="E120" s="29">
        <f>D120*3</f>
        <v>4.8263888888888887E-3</v>
      </c>
      <c r="H120" s="11">
        <v>45875</v>
      </c>
      <c r="I120" s="11">
        <v>45875</v>
      </c>
      <c r="J120" s="11"/>
      <c r="K120" s="11"/>
    </row>
    <row r="121" spans="1:13" ht="15.75" customHeight="1">
      <c r="C121" s="2" t="s">
        <v>154</v>
      </c>
      <c r="D121" s="28" t="str">
        <f>TEXT(75.3/1440, "hh:mm:ss")</f>
        <v>01:15:18</v>
      </c>
      <c r="E121" s="29">
        <f t="shared" ref="E121:E125" si="9">D121*3</f>
        <v>0.15687499999999999</v>
      </c>
      <c r="H121" s="11">
        <v>45875</v>
      </c>
      <c r="I121" s="11">
        <v>45875</v>
      </c>
      <c r="J121" s="11"/>
      <c r="K121" s="11"/>
    </row>
    <row r="122" spans="1:13" ht="15.75" customHeight="1">
      <c r="C122" s="2" t="s">
        <v>155</v>
      </c>
      <c r="D122" s="28" t="str">
        <f>TEXT(18/1440, "hh:mm:ss")</f>
        <v>00:18:00</v>
      </c>
      <c r="E122" s="29">
        <f t="shared" si="9"/>
        <v>3.7500000000000006E-2</v>
      </c>
      <c r="H122" s="11">
        <v>45875</v>
      </c>
      <c r="I122" s="11">
        <v>45875</v>
      </c>
      <c r="J122" s="11"/>
      <c r="K122" s="11"/>
    </row>
    <row r="123" spans="1:13" ht="15.75" customHeight="1">
      <c r="C123" s="2" t="s">
        <v>156</v>
      </c>
      <c r="D123" s="28" t="str">
        <f>TEXT(16/1440, "hh:mm:ss")</f>
        <v>00:16:00</v>
      </c>
      <c r="E123" s="29">
        <f t="shared" si="9"/>
        <v>3.3333333333333333E-2</v>
      </c>
      <c r="H123" s="11">
        <v>45875</v>
      </c>
      <c r="I123" s="11">
        <v>45875</v>
      </c>
      <c r="J123" s="11"/>
      <c r="K123" s="11"/>
    </row>
    <row r="124" spans="1:13" ht="15.75" customHeight="1">
      <c r="C124" s="2" t="s">
        <v>157</v>
      </c>
      <c r="D124" s="28" t="str">
        <f>TEXT(11/1440, "hh:mm:ss")</f>
        <v>00:11:00</v>
      </c>
      <c r="E124" s="29">
        <f t="shared" si="9"/>
        <v>2.2916666666666665E-2</v>
      </c>
      <c r="H124" s="11">
        <v>45875</v>
      </c>
      <c r="I124" s="11">
        <v>45875</v>
      </c>
      <c r="J124" s="11"/>
      <c r="K124" s="11"/>
    </row>
    <row r="125" spans="1:13" ht="15.75" customHeight="1">
      <c r="C125" s="2" t="s">
        <v>158</v>
      </c>
      <c r="D125" s="28" t="str">
        <f>TEXT(16/1440, "hh:mm:ss")</f>
        <v>00:16:00</v>
      </c>
      <c r="E125" s="29">
        <f t="shared" si="9"/>
        <v>3.3333333333333333E-2</v>
      </c>
      <c r="H125" s="11">
        <v>45875</v>
      </c>
      <c r="I125" s="11">
        <v>45875</v>
      </c>
      <c r="J125" s="11"/>
      <c r="K125" s="11"/>
    </row>
    <row r="126" spans="1:13" ht="15.75" customHeight="1">
      <c r="C126" s="1" t="s">
        <v>64</v>
      </c>
      <c r="D126" s="28" t="str">
        <f>TEXT(120/1440, "hh:mm:ss")</f>
        <v>02:00:00</v>
      </c>
      <c r="E126" s="29">
        <v>120</v>
      </c>
      <c r="H126" s="11">
        <v>45876</v>
      </c>
      <c r="I126" s="11">
        <v>45876</v>
      </c>
      <c r="J126" s="11"/>
      <c r="K126" s="11"/>
    </row>
    <row r="127" spans="1:13" ht="15.75" customHeight="1">
      <c r="A127" s="13"/>
      <c r="B127" s="14"/>
      <c r="C127" s="20"/>
      <c r="D127" s="30"/>
      <c r="E127" s="31"/>
      <c r="F127" s="16"/>
      <c r="G127" s="16"/>
      <c r="H127" s="17"/>
      <c r="I127" s="17"/>
      <c r="J127" s="17"/>
      <c r="K127" s="17"/>
      <c r="L127" s="16"/>
      <c r="M127" s="18"/>
    </row>
    <row r="128" spans="1:13" ht="15.75" customHeight="1">
      <c r="A128" s="8">
        <v>14</v>
      </c>
      <c r="B128" s="9" t="s">
        <v>26</v>
      </c>
      <c r="C128" s="2" t="s">
        <v>159</v>
      </c>
      <c r="D128" s="28" t="str">
        <f>TEXT(10.13/1440, "hh:mm:ss")</f>
        <v>00:10:08</v>
      </c>
      <c r="E128" s="29">
        <f>D128*3</f>
        <v>2.1111111111111112E-2</v>
      </c>
      <c r="H128" s="11">
        <v>45876</v>
      </c>
      <c r="I128" s="11">
        <v>45876</v>
      </c>
      <c r="J128" s="11"/>
      <c r="K128" s="11"/>
    </row>
    <row r="129" spans="1:13" ht="15.75" customHeight="1">
      <c r="C129" s="2" t="s">
        <v>160</v>
      </c>
      <c r="D129" s="28" t="str">
        <f>TEXT(10.06/1440, "hh:mm:ss")</f>
        <v>00:10:04</v>
      </c>
      <c r="E129" s="29">
        <f t="shared" ref="E129:E132" si="10">D129*3</f>
        <v>2.0972222222222222E-2</v>
      </c>
      <c r="H129" s="11">
        <v>45876</v>
      </c>
      <c r="I129" s="11">
        <v>45876</v>
      </c>
      <c r="J129" s="11"/>
      <c r="K129" s="11"/>
    </row>
    <row r="130" spans="1:13" ht="15.75" customHeight="1">
      <c r="C130" s="2" t="s">
        <v>161</v>
      </c>
      <c r="D130" s="28" t="str">
        <f>TEXT(21.05/1440, "hh:mm:ss")</f>
        <v>00:21:03</v>
      </c>
      <c r="E130" s="29">
        <f t="shared" si="10"/>
        <v>4.3854166666666666E-2</v>
      </c>
      <c r="H130" s="11">
        <v>45876</v>
      </c>
      <c r="I130" s="11">
        <v>45876</v>
      </c>
      <c r="J130" s="11"/>
      <c r="K130" s="11"/>
    </row>
    <row r="131" spans="1:13" ht="15.75" customHeight="1">
      <c r="C131" s="2" t="s">
        <v>162</v>
      </c>
      <c r="D131" s="28" t="str">
        <f>TEXT(7.35/1440, "hh:mm:ss")</f>
        <v>00:07:21</v>
      </c>
      <c r="E131" s="29">
        <f t="shared" si="10"/>
        <v>1.53125E-2</v>
      </c>
      <c r="H131" s="11">
        <v>45876</v>
      </c>
      <c r="I131" s="11">
        <v>45876</v>
      </c>
      <c r="J131" s="11"/>
      <c r="K131" s="11"/>
    </row>
    <row r="132" spans="1:13" ht="15.75" customHeight="1">
      <c r="C132" s="22" t="s">
        <v>163</v>
      </c>
      <c r="D132" s="28" t="str">
        <f>TEXT(7.35/1440, "hh:mm:ss")</f>
        <v>00:07:21</v>
      </c>
      <c r="E132" s="29">
        <f t="shared" si="10"/>
        <v>1.53125E-2</v>
      </c>
      <c r="H132" s="11">
        <v>45876</v>
      </c>
      <c r="I132" s="11">
        <v>45876</v>
      </c>
      <c r="J132" s="11"/>
      <c r="K132" s="11"/>
    </row>
    <row r="133" spans="1:13" ht="15.75" customHeight="1">
      <c r="C133" s="1" t="s">
        <v>64</v>
      </c>
      <c r="D133" s="28" t="str">
        <f>TEXT(120/1440, "hh:mm:ss")</f>
        <v>02:00:00</v>
      </c>
      <c r="E133" s="29">
        <v>121</v>
      </c>
      <c r="H133" s="11">
        <v>45876</v>
      </c>
      <c r="I133" s="11">
        <v>45876</v>
      </c>
      <c r="J133" s="11"/>
      <c r="K133" s="11"/>
    </row>
    <row r="134" spans="1:13" ht="15.75" customHeight="1">
      <c r="A134" s="13"/>
      <c r="B134" s="14"/>
      <c r="C134" s="20"/>
      <c r="D134" s="30"/>
      <c r="E134" s="31"/>
      <c r="F134" s="16"/>
      <c r="G134" s="16"/>
      <c r="H134" s="17"/>
      <c r="I134" s="17"/>
      <c r="J134" s="17"/>
      <c r="K134" s="17"/>
      <c r="L134" s="16"/>
      <c r="M134" s="18"/>
    </row>
    <row r="135" spans="1:13" ht="15.75" customHeight="1">
      <c r="A135" s="8">
        <v>15</v>
      </c>
      <c r="B135" s="9" t="s">
        <v>27</v>
      </c>
      <c r="C135" s="2" t="s">
        <v>164</v>
      </c>
      <c r="D135" s="28" t="str">
        <f>TEXT(6.35/1440, "hh:mm:ss")</f>
        <v>00:06:21</v>
      </c>
      <c r="E135" s="29">
        <f>D135*3</f>
        <v>1.3229166666666667E-2</v>
      </c>
      <c r="H135" s="11">
        <v>45877</v>
      </c>
      <c r="I135" s="11">
        <v>45877</v>
      </c>
      <c r="J135" s="11"/>
      <c r="K135" s="11"/>
    </row>
    <row r="136" spans="1:13" ht="15.75" customHeight="1">
      <c r="C136" s="2" t="s">
        <v>165</v>
      </c>
      <c r="D136" s="28" t="str">
        <f>TEXT(8.54/1440, "hh:mm:ss")</f>
        <v>00:08:32</v>
      </c>
      <c r="E136" s="29">
        <f t="shared" ref="E136:E149" si="11">D136*3</f>
        <v>1.7777777777777778E-2</v>
      </c>
      <c r="H136" s="11">
        <v>45877</v>
      </c>
      <c r="I136" s="11">
        <v>45877</v>
      </c>
      <c r="J136" s="11"/>
      <c r="K136" s="11"/>
    </row>
    <row r="137" spans="1:13" ht="15.75" customHeight="1">
      <c r="C137" s="2" t="s">
        <v>166</v>
      </c>
      <c r="D137" s="28" t="str">
        <f>TEXT(13/1440, "hh:mm:ss")</f>
        <v>00:13:00</v>
      </c>
      <c r="E137" s="29">
        <f t="shared" si="11"/>
        <v>2.7083333333333331E-2</v>
      </c>
      <c r="H137" s="11">
        <v>45877</v>
      </c>
      <c r="I137" s="11">
        <v>45877</v>
      </c>
      <c r="J137" s="11"/>
      <c r="K137" s="11"/>
    </row>
    <row r="138" spans="1:13" ht="15.75" customHeight="1">
      <c r="C138" s="2" t="s">
        <v>167</v>
      </c>
      <c r="D138" s="28" t="str">
        <f>TEXT(12.08/1440, "hh:mm:ss")</f>
        <v>00:12:05</v>
      </c>
      <c r="E138" s="29">
        <f t="shared" si="11"/>
        <v>2.5173611111111112E-2</v>
      </c>
      <c r="H138" s="11">
        <v>45877</v>
      </c>
      <c r="I138" s="11">
        <v>45877</v>
      </c>
      <c r="J138" s="11"/>
      <c r="K138" s="11"/>
    </row>
    <row r="139" spans="1:13" ht="15.75" customHeight="1">
      <c r="C139" s="2" t="s">
        <v>168</v>
      </c>
      <c r="D139" s="28" t="str">
        <f>TEXT(12.14/1440, "hh:mm:ss")</f>
        <v>00:12:08</v>
      </c>
      <c r="E139" s="29">
        <f t="shared" si="11"/>
        <v>2.5277777777777774E-2</v>
      </c>
      <c r="H139" s="11">
        <v>45877</v>
      </c>
      <c r="I139" s="11">
        <v>45877</v>
      </c>
      <c r="J139" s="11"/>
      <c r="K139" s="11"/>
    </row>
    <row r="140" spans="1:13" ht="15.75" customHeight="1">
      <c r="C140" s="2" t="s">
        <v>169</v>
      </c>
      <c r="D140" s="28" t="str">
        <f>TEXT(11.47/1440, "hh:mm:ss")</f>
        <v>00:11:28</v>
      </c>
      <c r="E140" s="29">
        <f t="shared" si="11"/>
        <v>2.388888888888889E-2</v>
      </c>
      <c r="H140" s="11">
        <v>45877</v>
      </c>
      <c r="I140" s="11">
        <v>45877</v>
      </c>
      <c r="J140" s="11"/>
      <c r="K140" s="11"/>
    </row>
    <row r="141" spans="1:13" ht="15.75" customHeight="1">
      <c r="B141" s="9"/>
      <c r="C141" s="2" t="s">
        <v>170</v>
      </c>
      <c r="D141" s="28" t="str">
        <f>TEXT(12.32/1440, "hh:mm:ss")</f>
        <v>00:12:19</v>
      </c>
      <c r="E141" s="29">
        <f t="shared" si="11"/>
        <v>2.5659722222222223E-2</v>
      </c>
      <c r="H141" s="11">
        <v>45877</v>
      </c>
      <c r="I141" s="11">
        <v>45877</v>
      </c>
      <c r="J141" s="11"/>
      <c r="K141" s="11"/>
    </row>
    <row r="142" spans="1:13" ht="15.75" customHeight="1">
      <c r="C142" s="2" t="s">
        <v>171</v>
      </c>
      <c r="D142" s="28" t="str">
        <f>TEXT(12.41/1440, "hh:mm:ss")</f>
        <v>00:12:25</v>
      </c>
      <c r="E142" s="29">
        <f t="shared" si="11"/>
        <v>2.5868055555555554E-2</v>
      </c>
      <c r="H142" s="11">
        <v>45877</v>
      </c>
      <c r="I142" s="11">
        <v>45877</v>
      </c>
      <c r="J142" s="11"/>
      <c r="K142" s="11"/>
    </row>
    <row r="143" spans="1:13" ht="15.75" customHeight="1">
      <c r="C143" s="2" t="s">
        <v>172</v>
      </c>
      <c r="D143" s="28" t="str">
        <f>TEXT(14.26/1440, "hh:mm:ss")</f>
        <v>00:14:16</v>
      </c>
      <c r="E143" s="29">
        <f>D143*3</f>
        <v>2.9722222222222226E-2</v>
      </c>
      <c r="H143" s="11">
        <v>45877</v>
      </c>
      <c r="I143" s="11">
        <v>45877</v>
      </c>
      <c r="J143" s="11"/>
      <c r="K143" s="11"/>
    </row>
    <row r="144" spans="1:13" ht="15.75" customHeight="1">
      <c r="C144" s="2" t="s">
        <v>173</v>
      </c>
      <c r="D144" s="28" t="str">
        <f>TEXT(11.24/1440, "hh:mm:ss")</f>
        <v>00:11:14</v>
      </c>
      <c r="E144" s="29">
        <f>D144*3</f>
        <v>2.3402777777777776E-2</v>
      </c>
      <c r="H144" s="11">
        <v>45877</v>
      </c>
      <c r="I144" s="11">
        <v>45877</v>
      </c>
      <c r="J144" s="11"/>
      <c r="K144" s="11"/>
    </row>
    <row r="145" spans="1:13" ht="15.75" customHeight="1">
      <c r="C145" s="2" t="s">
        <v>174</v>
      </c>
      <c r="D145" s="28" t="str">
        <f>TEXT(13.34/1440, "hh:mm:ss")</f>
        <v>00:13:20</v>
      </c>
      <c r="E145" s="29">
        <f t="shared" si="11"/>
        <v>2.7777777777777776E-2</v>
      </c>
      <c r="H145" s="11">
        <v>45877</v>
      </c>
      <c r="I145" s="11">
        <v>45877</v>
      </c>
      <c r="J145" s="11"/>
      <c r="K145" s="11"/>
    </row>
    <row r="146" spans="1:13" ht="15.75" customHeight="1">
      <c r="C146" s="2" t="s">
        <v>175</v>
      </c>
      <c r="D146" s="28" t="str">
        <f>TEXT(14.43/1440, "hh:mm:ss")</f>
        <v>00:14:26</v>
      </c>
      <c r="E146" s="29">
        <f t="shared" si="11"/>
        <v>3.006944444444444E-2</v>
      </c>
      <c r="H146" s="11">
        <v>45878</v>
      </c>
      <c r="I146" s="11">
        <v>45878</v>
      </c>
      <c r="J146" s="11"/>
      <c r="K146" s="11"/>
    </row>
    <row r="147" spans="1:13" ht="15.75" customHeight="1">
      <c r="C147" s="2" t="s">
        <v>176</v>
      </c>
      <c r="D147" s="28" t="str">
        <f>TEXT(8.32/1440, "hh:mm:ss")</f>
        <v>00:08:19</v>
      </c>
      <c r="E147" s="29">
        <f t="shared" si="11"/>
        <v>1.7326388888888891E-2</v>
      </c>
      <c r="H147" s="11">
        <v>45878</v>
      </c>
      <c r="I147" s="11">
        <v>45878</v>
      </c>
      <c r="J147" s="11"/>
      <c r="K147" s="11"/>
    </row>
    <row r="148" spans="1:13" ht="15.75" customHeight="1">
      <c r="C148" s="2" t="s">
        <v>177</v>
      </c>
      <c r="D148" s="28" t="str">
        <f>TEXT(15.34/1440, "hh:mm:ss")</f>
        <v>00:15:20</v>
      </c>
      <c r="E148" s="29">
        <f t="shared" si="11"/>
        <v>3.1944444444444442E-2</v>
      </c>
      <c r="H148" s="11">
        <v>45878</v>
      </c>
      <c r="I148" s="11">
        <v>45878</v>
      </c>
      <c r="J148" s="11"/>
      <c r="K148" s="11"/>
    </row>
    <row r="149" spans="1:13" ht="15.75" customHeight="1">
      <c r="C149" s="2" t="s">
        <v>178</v>
      </c>
      <c r="D149" s="28" t="str">
        <f>TEXT(12.4/1440, "hh:mm:ss")</f>
        <v>00:12:24</v>
      </c>
      <c r="E149" s="29">
        <f t="shared" si="11"/>
        <v>2.5833333333333333E-2</v>
      </c>
      <c r="H149" s="11">
        <v>45878</v>
      </c>
      <c r="I149" s="11">
        <v>45878</v>
      </c>
      <c r="J149" s="11"/>
      <c r="K149" s="11"/>
    </row>
    <row r="150" spans="1:13" ht="15.75" customHeight="1">
      <c r="C150" s="1" t="s">
        <v>64</v>
      </c>
      <c r="D150" s="28" t="str">
        <f>TEXT(240/1440, "hh:mm:ss")</f>
        <v>04:00:00</v>
      </c>
      <c r="E150" s="29">
        <v>240</v>
      </c>
      <c r="H150" s="11">
        <v>45878</v>
      </c>
      <c r="I150" s="11">
        <v>45878</v>
      </c>
      <c r="J150" s="11"/>
      <c r="K150" s="11"/>
    </row>
    <row r="151" spans="1:13" ht="15.75" customHeight="1">
      <c r="A151" s="13"/>
      <c r="B151" s="14"/>
      <c r="C151" s="20"/>
      <c r="D151" s="30"/>
      <c r="E151" s="31"/>
      <c r="F151" s="16"/>
      <c r="G151" s="16"/>
      <c r="H151" s="17"/>
      <c r="I151" s="17"/>
      <c r="J151" s="17"/>
      <c r="K151" s="17"/>
      <c r="L151" s="16"/>
      <c r="M151" s="18"/>
    </row>
    <row r="152" spans="1:13" ht="15.75" customHeight="1">
      <c r="A152" s="8">
        <v>16</v>
      </c>
      <c r="B152" s="9" t="s">
        <v>28</v>
      </c>
      <c r="C152" s="19" t="s">
        <v>179</v>
      </c>
      <c r="D152" s="28" t="str">
        <f>TEXT(9.16/1440, "hh:mm:ss")</f>
        <v>00:09:10</v>
      </c>
      <c r="E152" s="29">
        <f>D152*3</f>
        <v>1.909722222222222E-2</v>
      </c>
      <c r="H152" s="11">
        <v>45879</v>
      </c>
      <c r="I152" s="11">
        <v>45879</v>
      </c>
      <c r="J152" s="11"/>
      <c r="K152" s="11"/>
    </row>
    <row r="153" spans="1:13" ht="15.75" customHeight="1">
      <c r="C153" s="19" t="s">
        <v>180</v>
      </c>
      <c r="D153" s="28" t="str">
        <f>TEXT(13.39/1440, "hh:mm:ss")</f>
        <v>00:13:23</v>
      </c>
      <c r="E153" s="29">
        <f t="shared" ref="E153:E154" si="12">D153*3</f>
        <v>2.7881944444444445E-2</v>
      </c>
      <c r="H153" s="11">
        <v>45879</v>
      </c>
      <c r="I153" s="11">
        <v>45879</v>
      </c>
      <c r="J153" s="11"/>
      <c r="K153" s="11"/>
    </row>
    <row r="154" spans="1:13" ht="15.75" customHeight="1">
      <c r="C154" s="19" t="s">
        <v>181</v>
      </c>
      <c r="D154" s="28" t="str">
        <f>TEXT(13/1440, "hh:mm:ss")</f>
        <v>00:13:00</v>
      </c>
      <c r="E154" s="29">
        <f t="shared" si="12"/>
        <v>2.7083333333333331E-2</v>
      </c>
      <c r="H154" s="11">
        <v>45879</v>
      </c>
      <c r="I154" s="11">
        <v>45879</v>
      </c>
      <c r="J154" s="11"/>
      <c r="K154" s="11"/>
    </row>
    <row r="155" spans="1:13" ht="15.75" customHeight="1">
      <c r="C155" s="1" t="s">
        <v>64</v>
      </c>
      <c r="D155" s="28" t="str">
        <f>TEXT(60/1440, "hh:mm:ss")</f>
        <v>01:00:00</v>
      </c>
      <c r="E155" s="29">
        <v>60</v>
      </c>
      <c r="H155" s="11">
        <v>45879</v>
      </c>
      <c r="I155" s="11">
        <v>45879</v>
      </c>
      <c r="J155" s="11"/>
      <c r="K155" s="11"/>
    </row>
    <row r="156" spans="1:13" ht="15.75" customHeight="1">
      <c r="A156" s="13"/>
      <c r="B156" s="14"/>
      <c r="C156" s="20"/>
      <c r="D156" s="30"/>
      <c r="E156" s="31"/>
      <c r="F156" s="16"/>
      <c r="G156" s="16"/>
      <c r="H156" s="17"/>
      <c r="I156" s="17"/>
      <c r="J156" s="17"/>
      <c r="K156" s="17"/>
      <c r="L156" s="16"/>
      <c r="M156" s="18"/>
    </row>
    <row r="157" spans="1:13" ht="15.75" customHeight="1">
      <c r="A157" s="8">
        <v>17</v>
      </c>
      <c r="B157" s="9" t="s">
        <v>29</v>
      </c>
      <c r="C157" s="19" t="s">
        <v>182</v>
      </c>
      <c r="D157" s="28" t="str">
        <f>TEXT(5.33/1440, "hh:mm:ss")</f>
        <v>00:05:20</v>
      </c>
      <c r="E157" s="29">
        <f>D157*3</f>
        <v>1.1111111111111112E-2</v>
      </c>
      <c r="H157" s="11">
        <v>45880</v>
      </c>
      <c r="I157" s="11">
        <v>45880</v>
      </c>
      <c r="J157" s="11"/>
      <c r="K157" s="11"/>
    </row>
    <row r="158" spans="1:13" ht="15.75" customHeight="1">
      <c r="C158" s="2" t="s">
        <v>183</v>
      </c>
      <c r="D158" s="28" t="str">
        <f>TEXT(9.34/1440, "hh:mm:ss")</f>
        <v>00:09:20</v>
      </c>
      <c r="E158" s="29">
        <f t="shared" ref="E158:E165" si="13">D158*3</f>
        <v>1.9444444444444445E-2</v>
      </c>
      <c r="H158" s="11">
        <v>45880</v>
      </c>
      <c r="I158" s="11">
        <v>45880</v>
      </c>
      <c r="J158" s="11"/>
      <c r="K158" s="11"/>
    </row>
    <row r="159" spans="1:13" ht="15.75" customHeight="1">
      <c r="C159" s="19" t="s">
        <v>184</v>
      </c>
      <c r="D159" s="28" t="str">
        <f>TEXT(4.36/1440, "hh:mm:ss")</f>
        <v>00:04:22</v>
      </c>
      <c r="E159" s="29">
        <f t="shared" si="13"/>
        <v>9.0972222222222218E-3</v>
      </c>
      <c r="H159" s="11">
        <v>45880</v>
      </c>
      <c r="I159" s="11">
        <v>45880</v>
      </c>
      <c r="J159" s="11"/>
      <c r="K159" s="11"/>
    </row>
    <row r="160" spans="1:13" ht="15.75" customHeight="1">
      <c r="C160" s="19" t="s">
        <v>185</v>
      </c>
      <c r="D160" s="28" t="str">
        <f>TEXT(10.32/1440, "hh:mm:ss")</f>
        <v>00:10:19</v>
      </c>
      <c r="E160" s="29">
        <f t="shared" si="13"/>
        <v>2.1493055555555553E-2</v>
      </c>
      <c r="H160" s="11">
        <v>45880</v>
      </c>
      <c r="I160" s="11">
        <v>45880</v>
      </c>
      <c r="J160" s="11"/>
      <c r="K160" s="11"/>
    </row>
    <row r="161" spans="1:13" ht="15.75" customHeight="1">
      <c r="C161" s="19" t="s">
        <v>186</v>
      </c>
      <c r="D161" s="28" t="str">
        <f>TEXT(14.16/1440, "hh:mm:ss")</f>
        <v>00:14:10</v>
      </c>
      <c r="E161" s="29">
        <f t="shared" si="13"/>
        <v>2.9513888888888888E-2</v>
      </c>
      <c r="H161" s="11">
        <v>45880</v>
      </c>
      <c r="I161" s="11">
        <v>45880</v>
      </c>
      <c r="J161" s="11"/>
      <c r="K161" s="11"/>
    </row>
    <row r="162" spans="1:13" ht="15.75" customHeight="1">
      <c r="C162" s="19" t="s">
        <v>187</v>
      </c>
      <c r="D162" s="28" t="str">
        <f>TEXT(10.02/1440, "hh:mm:ss")</f>
        <v>00:10:01</v>
      </c>
      <c r="E162" s="29">
        <f t="shared" si="13"/>
        <v>2.0868055555555556E-2</v>
      </c>
      <c r="H162" s="11">
        <v>45880</v>
      </c>
      <c r="I162" s="11">
        <v>45880</v>
      </c>
      <c r="J162" s="11"/>
      <c r="K162" s="11"/>
    </row>
    <row r="163" spans="1:13" ht="15.75" customHeight="1">
      <c r="C163" s="19" t="s">
        <v>188</v>
      </c>
      <c r="D163" s="28" t="str">
        <f>TEXT(10/1440, "hh:mm:ss")</f>
        <v>00:10:00</v>
      </c>
      <c r="E163" s="29">
        <f t="shared" si="13"/>
        <v>2.0833333333333332E-2</v>
      </c>
      <c r="H163" s="11">
        <v>45880</v>
      </c>
      <c r="I163" s="11">
        <v>45880</v>
      </c>
      <c r="J163" s="11"/>
      <c r="K163" s="11"/>
    </row>
    <row r="164" spans="1:13" ht="15.75" customHeight="1">
      <c r="C164" s="19" t="s">
        <v>189</v>
      </c>
      <c r="D164" s="28" t="str">
        <f>TEXT(11/1440, "hh:mm:ss")</f>
        <v>00:11:00</v>
      </c>
      <c r="E164" s="29">
        <f t="shared" si="13"/>
        <v>2.2916666666666665E-2</v>
      </c>
      <c r="H164" s="11">
        <v>45880</v>
      </c>
      <c r="I164" s="11">
        <v>45880</v>
      </c>
      <c r="J164" s="11"/>
      <c r="K164" s="11"/>
    </row>
    <row r="165" spans="1:13" ht="15.75" customHeight="1">
      <c r="C165" s="1" t="s">
        <v>64</v>
      </c>
      <c r="D165" s="28" t="str">
        <f>TEXT(120/1440, "hh:mm:ss")</f>
        <v>02:00:00</v>
      </c>
      <c r="E165" s="29">
        <v>120</v>
      </c>
      <c r="H165" s="11">
        <v>45880</v>
      </c>
      <c r="I165" s="11">
        <v>45880</v>
      </c>
      <c r="J165" s="11"/>
      <c r="K165" s="11"/>
    </row>
    <row r="166" spans="1:13" ht="15.75" customHeight="1">
      <c r="A166" s="13"/>
      <c r="B166" s="14"/>
      <c r="C166" s="20"/>
      <c r="D166" s="30"/>
      <c r="E166" s="31"/>
      <c r="F166" s="16"/>
      <c r="G166" s="16"/>
      <c r="H166" s="17"/>
      <c r="I166" s="17"/>
      <c r="J166" s="17"/>
      <c r="K166" s="17"/>
      <c r="L166" s="16"/>
      <c r="M166" s="18"/>
    </row>
    <row r="167" spans="1:13" ht="15.75" customHeight="1">
      <c r="A167" s="8">
        <v>18</v>
      </c>
      <c r="B167" s="9" t="s">
        <v>30</v>
      </c>
      <c r="C167" s="19" t="s">
        <v>190</v>
      </c>
      <c r="D167" s="28" t="str">
        <f>TEXT(5.02/1440, "hh:mm:ss")</f>
        <v>00:05:01</v>
      </c>
      <c r="E167" s="29">
        <f>D167*3</f>
        <v>1.0451388888888889E-2</v>
      </c>
      <c r="H167" s="11">
        <v>45881</v>
      </c>
      <c r="I167" s="11">
        <v>45881</v>
      </c>
      <c r="J167" s="11"/>
      <c r="K167" s="11"/>
    </row>
    <row r="168" spans="1:13" ht="15.75" customHeight="1">
      <c r="C168" s="19" t="s">
        <v>191</v>
      </c>
      <c r="D168" s="28" t="str">
        <f>TEXT(14/1440, "hh:mm:ss")</f>
        <v>00:14:00</v>
      </c>
      <c r="E168" s="29">
        <f t="shared" ref="E168:E174" si="14">D168*3</f>
        <v>2.9166666666666667E-2</v>
      </c>
      <c r="H168" s="11">
        <v>45881</v>
      </c>
      <c r="I168" s="11">
        <v>45881</v>
      </c>
      <c r="J168" s="11"/>
      <c r="K168" s="11"/>
    </row>
    <row r="169" spans="1:13" ht="15.75" customHeight="1">
      <c r="C169" s="19" t="s">
        <v>192</v>
      </c>
      <c r="D169" s="28" t="str">
        <f>TEXT(9.3/1440, "hh:mm:ss")</f>
        <v>00:09:18</v>
      </c>
      <c r="E169" s="29">
        <f t="shared" si="14"/>
        <v>1.9375E-2</v>
      </c>
      <c r="H169" s="11">
        <v>45881</v>
      </c>
      <c r="I169" s="11">
        <v>45881</v>
      </c>
      <c r="J169" s="11"/>
      <c r="K169" s="11"/>
    </row>
    <row r="170" spans="1:13" ht="15.75" customHeight="1">
      <c r="C170" s="19" t="s">
        <v>193</v>
      </c>
      <c r="D170" s="28" t="str">
        <f>TEXT(13.21/1440, "hh:mm:ss")</f>
        <v>00:13:13</v>
      </c>
      <c r="E170" s="29">
        <f t="shared" si="14"/>
        <v>2.7534722222222221E-2</v>
      </c>
      <c r="H170" s="11">
        <v>45881</v>
      </c>
      <c r="I170" s="11">
        <v>45881</v>
      </c>
      <c r="J170" s="11"/>
      <c r="K170" s="11"/>
    </row>
    <row r="171" spans="1:13" ht="15.75" customHeight="1">
      <c r="C171" s="19" t="s">
        <v>194</v>
      </c>
      <c r="D171" s="28" t="str">
        <f>TEXT(13/1440, "hh:mm:ss")</f>
        <v>00:13:00</v>
      </c>
      <c r="E171" s="29">
        <f t="shared" si="14"/>
        <v>2.7083333333333331E-2</v>
      </c>
      <c r="H171" s="11">
        <v>45881</v>
      </c>
      <c r="I171" s="11">
        <v>45881</v>
      </c>
      <c r="J171" s="11"/>
      <c r="K171" s="11"/>
    </row>
    <row r="172" spans="1:13" ht="15.75" customHeight="1">
      <c r="C172" s="19" t="s">
        <v>195</v>
      </c>
      <c r="D172" s="28" t="str">
        <f>TEXT(4/1440, "hh:mm:ss")</f>
        <v>00:04:00</v>
      </c>
      <c r="E172" s="29">
        <f t="shared" si="14"/>
        <v>8.3333333333333332E-3</v>
      </c>
      <c r="H172" s="11">
        <v>45881</v>
      </c>
      <c r="I172" s="11">
        <v>45881</v>
      </c>
      <c r="J172" s="11"/>
      <c r="K172" s="11"/>
    </row>
    <row r="173" spans="1:13" ht="15.75" customHeight="1">
      <c r="C173" s="2" t="s">
        <v>196</v>
      </c>
      <c r="D173" s="28" t="str">
        <f>TEXT(11.2/1440, "hh:mm:ss")</f>
        <v>00:11:12</v>
      </c>
      <c r="E173" s="29">
        <f t="shared" si="14"/>
        <v>2.3333333333333331E-2</v>
      </c>
      <c r="H173" s="11">
        <v>45881</v>
      </c>
      <c r="I173" s="11">
        <v>45881</v>
      </c>
      <c r="J173" s="11"/>
      <c r="K173" s="11"/>
    </row>
    <row r="174" spans="1:13" ht="15.75" customHeight="1">
      <c r="C174" s="19" t="s">
        <v>197</v>
      </c>
      <c r="D174" s="28" t="str">
        <f>TEXT(11.4/1440, "hh:mm:ss")</f>
        <v>00:11:24</v>
      </c>
      <c r="E174" s="29">
        <f t="shared" si="14"/>
        <v>2.375E-2</v>
      </c>
      <c r="H174" s="11">
        <v>45881</v>
      </c>
      <c r="I174" s="11">
        <v>45881</v>
      </c>
      <c r="J174" s="11"/>
      <c r="K174" s="11"/>
    </row>
    <row r="175" spans="1:13" ht="15.75" customHeight="1">
      <c r="C175" s="1" t="s">
        <v>64</v>
      </c>
      <c r="D175" s="28" t="str">
        <f>TEXT(180/1440, "hh:mm:ss")</f>
        <v>03:00:00</v>
      </c>
      <c r="E175" s="29">
        <v>180</v>
      </c>
      <c r="H175" s="11">
        <v>45881</v>
      </c>
      <c r="I175" s="11">
        <v>45881</v>
      </c>
      <c r="J175" s="11"/>
      <c r="K175" s="11"/>
    </row>
    <row r="176" spans="1:13" ht="15.75" customHeight="1">
      <c r="A176" s="13"/>
      <c r="B176" s="14"/>
      <c r="C176" s="20"/>
      <c r="D176" s="30"/>
      <c r="E176" s="31"/>
      <c r="F176" s="16"/>
      <c r="G176" s="16"/>
      <c r="H176" s="17"/>
      <c r="I176" s="17"/>
      <c r="J176" s="17"/>
      <c r="K176" s="17"/>
      <c r="L176" s="16"/>
      <c r="M176" s="18"/>
    </row>
    <row r="177" spans="1:13" ht="15.75" customHeight="1">
      <c r="A177" s="8">
        <v>19</v>
      </c>
      <c r="B177" s="9" t="s">
        <v>31</v>
      </c>
      <c r="C177" s="19" t="s">
        <v>198</v>
      </c>
      <c r="D177" s="28" t="str">
        <f>TEXT(15.33/1440, "hh:mm:ss")</f>
        <v>00:15:20</v>
      </c>
      <c r="E177" s="29">
        <f>D177*3</f>
        <v>3.1944444444444442E-2</v>
      </c>
      <c r="H177" s="11">
        <v>45882</v>
      </c>
      <c r="I177" s="11">
        <v>45882</v>
      </c>
      <c r="J177" s="11"/>
      <c r="K177" s="11"/>
    </row>
    <row r="178" spans="1:13" ht="15.75" customHeight="1">
      <c r="C178" s="19" t="s">
        <v>199</v>
      </c>
      <c r="D178" s="28" t="str">
        <f>TEXT(6/1440, "hh:mm:ss")</f>
        <v>00:06:00</v>
      </c>
      <c r="E178" s="29">
        <f t="shared" ref="E178:E183" si="15">D178*3</f>
        <v>1.2500000000000001E-2</v>
      </c>
      <c r="H178" s="11">
        <v>45882</v>
      </c>
      <c r="I178" s="11">
        <v>45882</v>
      </c>
      <c r="J178" s="11"/>
      <c r="K178" s="11"/>
    </row>
    <row r="179" spans="1:13" ht="15.75" customHeight="1">
      <c r="C179" s="19" t="s">
        <v>200</v>
      </c>
      <c r="D179" s="28" t="str">
        <f>TEXT(13.37/1440, "hh:mm:ss")</f>
        <v>00:13:22</v>
      </c>
      <c r="E179" s="29">
        <f t="shared" si="15"/>
        <v>2.7847222222222225E-2</v>
      </c>
      <c r="H179" s="11">
        <v>45882</v>
      </c>
      <c r="I179" s="11">
        <v>45882</v>
      </c>
      <c r="J179" s="11"/>
      <c r="K179" s="11"/>
    </row>
    <row r="180" spans="1:13" ht="15.75" customHeight="1">
      <c r="C180" s="19" t="s">
        <v>201</v>
      </c>
      <c r="D180" s="28" t="str">
        <f>TEXT(12.42/1440, "hh:mm:ss")</f>
        <v>00:12:25</v>
      </c>
      <c r="E180" s="29">
        <f t="shared" si="15"/>
        <v>2.5868055555555554E-2</v>
      </c>
      <c r="H180" s="11">
        <v>45882</v>
      </c>
      <c r="I180" s="11">
        <v>45882</v>
      </c>
      <c r="J180" s="11"/>
      <c r="K180" s="11"/>
    </row>
    <row r="181" spans="1:13" ht="15.75" customHeight="1">
      <c r="C181" s="19" t="s">
        <v>202</v>
      </c>
      <c r="D181" s="28" t="str">
        <f>TEXT(13.28/1440, "hh:mm:ss")</f>
        <v>00:13:17</v>
      </c>
      <c r="E181" s="29">
        <f t="shared" si="15"/>
        <v>2.7673611111111107E-2</v>
      </c>
      <c r="H181" s="11">
        <v>45882</v>
      </c>
      <c r="I181" s="11">
        <v>45882</v>
      </c>
      <c r="J181" s="11"/>
      <c r="K181" s="11"/>
    </row>
    <row r="182" spans="1:13" ht="15.75" customHeight="1">
      <c r="C182" s="19" t="s">
        <v>203</v>
      </c>
      <c r="D182" s="28" t="str">
        <f>TEXT(10/1440, "hh:mm:ss")</f>
        <v>00:10:00</v>
      </c>
      <c r="E182" s="29">
        <f t="shared" si="15"/>
        <v>2.0833333333333332E-2</v>
      </c>
      <c r="H182" s="11">
        <v>45882</v>
      </c>
      <c r="I182" s="11">
        <v>45882</v>
      </c>
      <c r="J182" s="11"/>
      <c r="K182" s="11"/>
    </row>
    <row r="183" spans="1:13" ht="15.75" customHeight="1">
      <c r="C183" s="1" t="s">
        <v>64</v>
      </c>
      <c r="D183" s="28" t="str">
        <f>TEXT(120/1440, "hh:mm:ss")</f>
        <v>02:00:00</v>
      </c>
      <c r="E183" s="29">
        <f>120</f>
        <v>120</v>
      </c>
      <c r="H183" s="11">
        <v>45882</v>
      </c>
      <c r="I183" s="11">
        <v>45882</v>
      </c>
      <c r="J183" s="11"/>
      <c r="K183" s="11"/>
    </row>
    <row r="184" spans="1:13" ht="15.75" customHeight="1">
      <c r="A184" s="13"/>
      <c r="B184" s="14"/>
      <c r="C184" s="20"/>
      <c r="D184" s="30"/>
      <c r="E184" s="31"/>
      <c r="F184" s="16"/>
      <c r="G184" s="16"/>
      <c r="H184" s="17"/>
      <c r="I184" s="17"/>
      <c r="J184" s="17"/>
      <c r="K184" s="17"/>
      <c r="L184" s="16"/>
      <c r="M184" s="18"/>
    </row>
    <row r="185" spans="1:13" ht="15.75" customHeight="1">
      <c r="A185" s="8">
        <v>20</v>
      </c>
      <c r="B185" s="9" t="s">
        <v>32</v>
      </c>
      <c r="C185" s="2" t="s">
        <v>204</v>
      </c>
      <c r="D185" s="28" t="str">
        <f>TEXT(11.05/1440, "hh:mm:ss")</f>
        <v>00:11:03</v>
      </c>
      <c r="E185" s="29">
        <f>D185*3</f>
        <v>2.3020833333333334E-2</v>
      </c>
      <c r="H185" s="11">
        <v>45883</v>
      </c>
      <c r="I185" s="11">
        <v>45883</v>
      </c>
      <c r="J185" s="11"/>
      <c r="K185" s="11"/>
    </row>
    <row r="186" spans="1:13" ht="15.75" customHeight="1">
      <c r="C186" s="19" t="s">
        <v>205</v>
      </c>
      <c r="D186" s="28" t="str">
        <f>TEXT(8/1440, "hh:mm:ss")</f>
        <v>00:08:00</v>
      </c>
      <c r="E186" s="29">
        <f t="shared" ref="E186:E188" si="16">D186*3</f>
        <v>1.6666666666666666E-2</v>
      </c>
      <c r="H186" s="11">
        <v>45883</v>
      </c>
      <c r="I186" s="11">
        <v>45883</v>
      </c>
      <c r="J186" s="11"/>
      <c r="K186" s="11"/>
    </row>
    <row r="187" spans="1:13" ht="15.75" customHeight="1">
      <c r="C187" s="19" t="s">
        <v>206</v>
      </c>
      <c r="D187" s="28" t="str">
        <f>TEXT(17.25/1440, "hh:mm:ss")</f>
        <v>00:17:15</v>
      </c>
      <c r="E187" s="29">
        <f t="shared" si="16"/>
        <v>3.5937500000000004E-2</v>
      </c>
      <c r="H187" s="11">
        <v>45883</v>
      </c>
      <c r="I187" s="11">
        <v>45883</v>
      </c>
      <c r="J187" s="11"/>
      <c r="K187" s="11"/>
    </row>
    <row r="188" spans="1:13" ht="15.75" customHeight="1">
      <c r="C188" s="19" t="s">
        <v>207</v>
      </c>
      <c r="D188" s="28" t="str">
        <f>TEXT(7/1440, "hh:mm:ss")</f>
        <v>00:07:00</v>
      </c>
      <c r="E188" s="29">
        <f t="shared" si="16"/>
        <v>1.4583333333333334E-2</v>
      </c>
      <c r="H188" s="11">
        <v>45883</v>
      </c>
      <c r="I188" s="11">
        <v>45883</v>
      </c>
      <c r="J188" s="11"/>
      <c r="K188" s="11"/>
    </row>
    <row r="189" spans="1:13" ht="15.75" customHeight="1">
      <c r="C189" s="1" t="s">
        <v>64</v>
      </c>
      <c r="D189" s="28" t="str">
        <f>TEXT(120/1440, "hh:mm:ss")</f>
        <v>02:00:00</v>
      </c>
      <c r="E189" s="29">
        <v>120</v>
      </c>
      <c r="H189" s="11">
        <v>45883</v>
      </c>
      <c r="I189" s="11">
        <v>45883</v>
      </c>
      <c r="J189" s="11"/>
      <c r="K189" s="11"/>
    </row>
    <row r="190" spans="1:13" ht="15.75" customHeight="1">
      <c r="A190" s="13"/>
      <c r="B190" s="14"/>
      <c r="C190" s="20"/>
      <c r="D190" s="30"/>
      <c r="E190" s="31"/>
      <c r="F190" s="16"/>
      <c r="G190" s="16"/>
      <c r="H190" s="17"/>
      <c r="I190" s="17"/>
      <c r="J190" s="17"/>
      <c r="K190" s="17"/>
      <c r="L190" s="16"/>
      <c r="M190" s="18"/>
    </row>
    <row r="191" spans="1:13" ht="15.75" customHeight="1">
      <c r="A191" s="8">
        <v>21</v>
      </c>
      <c r="B191" s="9" t="s">
        <v>33</v>
      </c>
      <c r="C191" s="19" t="s">
        <v>208</v>
      </c>
      <c r="D191" s="28" t="str">
        <f>TEXT(3.3/1440, "hh:mm:ss")</f>
        <v>00:03:18</v>
      </c>
      <c r="E191" s="29">
        <f>D191*3</f>
        <v>6.875E-3</v>
      </c>
      <c r="H191" s="11">
        <v>45884</v>
      </c>
      <c r="I191" s="11">
        <v>45884</v>
      </c>
      <c r="J191" s="11"/>
      <c r="K191" s="11"/>
    </row>
    <row r="192" spans="1:13" ht="15.75" customHeight="1">
      <c r="C192" s="19" t="s">
        <v>209</v>
      </c>
      <c r="D192" s="28" t="str">
        <f>TEXT(14/1440, "hh:mm:ss")</f>
        <v>00:14:00</v>
      </c>
      <c r="E192" s="29">
        <f t="shared" ref="E192:E195" si="17">D192*3</f>
        <v>2.9166666666666667E-2</v>
      </c>
      <c r="H192" s="11">
        <v>45884</v>
      </c>
      <c r="I192" s="11">
        <v>45884</v>
      </c>
      <c r="J192" s="11"/>
      <c r="K192" s="11"/>
    </row>
    <row r="193" spans="1:13" ht="15.75" customHeight="1">
      <c r="C193" s="19" t="s">
        <v>210</v>
      </c>
      <c r="D193" s="28" t="str">
        <f>TEXT(18.07/1440, "hh:mm:ss")</f>
        <v>00:18:04</v>
      </c>
      <c r="E193" s="29">
        <f t="shared" si="17"/>
        <v>3.7638888888888888E-2</v>
      </c>
      <c r="H193" s="11">
        <v>45884</v>
      </c>
      <c r="I193" s="11">
        <v>45884</v>
      </c>
      <c r="J193" s="11"/>
      <c r="K193" s="11"/>
    </row>
    <row r="194" spans="1:13" ht="15.75" customHeight="1">
      <c r="C194" s="19" t="s">
        <v>211</v>
      </c>
      <c r="D194" s="28" t="str">
        <f>TEXT(10/1440, "hh:mm:ss")</f>
        <v>00:10:00</v>
      </c>
      <c r="E194" s="29">
        <f t="shared" si="17"/>
        <v>2.0833333333333332E-2</v>
      </c>
      <c r="H194" s="11">
        <v>45884</v>
      </c>
      <c r="I194" s="11">
        <v>45884</v>
      </c>
      <c r="J194" s="11"/>
      <c r="K194" s="11"/>
    </row>
    <row r="195" spans="1:13" ht="15.75" customHeight="1">
      <c r="C195" s="19" t="s">
        <v>212</v>
      </c>
      <c r="D195" s="28" t="str">
        <f>TEXT(11.03/1440, "hh:mm:ss")</f>
        <v>00:11:02</v>
      </c>
      <c r="E195" s="29">
        <f t="shared" si="17"/>
        <v>2.298611111111111E-2</v>
      </c>
      <c r="H195" s="11">
        <v>45884</v>
      </c>
      <c r="I195" s="11">
        <v>45884</v>
      </c>
      <c r="J195" s="11"/>
      <c r="K195" s="11"/>
    </row>
    <row r="196" spans="1:13" ht="15.75" customHeight="1">
      <c r="C196" s="1" t="s">
        <v>64</v>
      </c>
      <c r="D196" s="28" t="str">
        <f>TEXT(120/1440, "hh:mm:ss")</f>
        <v>02:00:00</v>
      </c>
      <c r="E196" s="29">
        <v>120</v>
      </c>
      <c r="H196" s="11">
        <v>45884</v>
      </c>
      <c r="I196" s="11">
        <v>45884</v>
      </c>
      <c r="J196" s="11"/>
      <c r="K196" s="11"/>
    </row>
    <row r="197" spans="1:13" ht="15.75" customHeight="1">
      <c r="A197" s="13"/>
      <c r="B197" s="14"/>
      <c r="C197" s="20"/>
      <c r="D197" s="30"/>
      <c r="E197" s="31"/>
      <c r="F197" s="16"/>
      <c r="G197" s="16"/>
      <c r="H197" s="17"/>
      <c r="I197" s="17"/>
      <c r="J197" s="17"/>
      <c r="K197" s="17"/>
      <c r="L197" s="16"/>
      <c r="M197" s="18"/>
    </row>
    <row r="198" spans="1:13" ht="15.75" customHeight="1">
      <c r="A198" s="8">
        <v>22</v>
      </c>
      <c r="B198" s="9" t="s">
        <v>34</v>
      </c>
      <c r="C198" s="19" t="s">
        <v>213</v>
      </c>
      <c r="D198" s="28" t="str">
        <f>TEXT(14.24/1440, "hh:mm:ss")</f>
        <v>00:14:14</v>
      </c>
      <c r="E198" s="29">
        <f>D198*3</f>
        <v>2.9652777777777778E-2</v>
      </c>
      <c r="H198" s="11">
        <v>45885</v>
      </c>
      <c r="I198" s="11">
        <v>45885</v>
      </c>
      <c r="J198" s="11"/>
      <c r="K198" s="11"/>
    </row>
    <row r="199" spans="1:13" ht="15.75" customHeight="1">
      <c r="C199" s="19" t="s">
        <v>214</v>
      </c>
      <c r="D199" s="28" t="str">
        <f>TEXT(12/1440, "hh:mm:ss")</f>
        <v>00:12:00</v>
      </c>
      <c r="E199" s="29">
        <f t="shared" ref="E199:E203" si="18">D199*3</f>
        <v>2.5000000000000001E-2</v>
      </c>
      <c r="H199" s="11">
        <v>45885</v>
      </c>
      <c r="I199" s="11">
        <v>45885</v>
      </c>
      <c r="J199" s="11"/>
      <c r="K199" s="11"/>
    </row>
    <row r="200" spans="1:13" ht="15.75" customHeight="1">
      <c r="C200" s="19" t="s">
        <v>215</v>
      </c>
      <c r="D200" s="28" t="str">
        <f>TEXT(4.11/1440, "hh:mm:ss")</f>
        <v>00:04:07</v>
      </c>
      <c r="E200" s="29">
        <f t="shared" si="18"/>
        <v>8.5763888888888886E-3</v>
      </c>
      <c r="H200" s="11">
        <v>45885</v>
      </c>
      <c r="I200" s="11">
        <v>45885</v>
      </c>
      <c r="J200" s="11"/>
      <c r="K200" s="11"/>
    </row>
    <row r="201" spans="1:13" ht="15.75" customHeight="1">
      <c r="C201" s="19" t="s">
        <v>216</v>
      </c>
      <c r="D201" s="28" t="str">
        <f>TEXT(10.43/1440, "hh:mm:ss")</f>
        <v>00:10:26</v>
      </c>
      <c r="E201" s="29">
        <f t="shared" si="18"/>
        <v>2.1736111111111112E-2</v>
      </c>
      <c r="H201" s="11">
        <v>45885</v>
      </c>
      <c r="I201" s="11">
        <v>45885</v>
      </c>
      <c r="J201" s="11"/>
      <c r="K201" s="11"/>
    </row>
    <row r="202" spans="1:13" ht="15.75" customHeight="1">
      <c r="C202" s="19" t="s">
        <v>217</v>
      </c>
      <c r="D202" s="28" t="str">
        <f>TEXT(9.41/1440, "hh:mm:ss")</f>
        <v>00:09:25</v>
      </c>
      <c r="E202" s="29">
        <f t="shared" si="18"/>
        <v>1.9618055555555555E-2</v>
      </c>
      <c r="H202" s="11">
        <v>45885</v>
      </c>
      <c r="I202" s="11">
        <v>45885</v>
      </c>
      <c r="J202" s="11"/>
      <c r="K202" s="11"/>
    </row>
    <row r="203" spans="1:13" ht="15.75" customHeight="1">
      <c r="C203" s="19" t="s">
        <v>218</v>
      </c>
      <c r="D203" s="28" t="str">
        <f>TEXT(7.3/1440, "hh:mm:ss")</f>
        <v>00:07:18</v>
      </c>
      <c r="E203" s="29">
        <f t="shared" si="18"/>
        <v>1.5208333333333332E-2</v>
      </c>
      <c r="H203" s="11">
        <v>45885</v>
      </c>
      <c r="I203" s="11">
        <v>45885</v>
      </c>
      <c r="J203" s="11"/>
      <c r="K203" s="11"/>
    </row>
    <row r="204" spans="1:13" ht="15.75" customHeight="1">
      <c r="C204" s="1" t="s">
        <v>64</v>
      </c>
      <c r="D204" s="28" t="str">
        <f>TEXT(120/1440, "hh:mm:ss")</f>
        <v>02:00:00</v>
      </c>
      <c r="E204" s="29">
        <v>120</v>
      </c>
      <c r="H204" s="11">
        <v>45885</v>
      </c>
      <c r="I204" s="11">
        <v>45885</v>
      </c>
      <c r="J204" s="11"/>
      <c r="K204" s="11"/>
    </row>
    <row r="205" spans="1:13" ht="15.75" customHeight="1">
      <c r="A205" s="13"/>
      <c r="B205" s="14"/>
      <c r="C205" s="20"/>
      <c r="D205" s="30"/>
      <c r="E205" s="31"/>
      <c r="F205" s="16"/>
      <c r="G205" s="16"/>
      <c r="H205" s="17"/>
      <c r="I205" s="17"/>
      <c r="J205" s="17"/>
      <c r="K205" s="17"/>
      <c r="L205" s="16"/>
      <c r="M205" s="18"/>
    </row>
    <row r="206" spans="1:13" ht="15.75" customHeight="1">
      <c r="A206" s="8">
        <v>23</v>
      </c>
      <c r="B206" s="9" t="s">
        <v>35</v>
      </c>
      <c r="C206" s="19" t="s">
        <v>219</v>
      </c>
      <c r="D206" s="28" t="str">
        <f>TEXT(8/1440, "hh:mm:ss")</f>
        <v>00:08:00</v>
      </c>
      <c r="E206" s="29">
        <f>D206*3</f>
        <v>1.6666666666666666E-2</v>
      </c>
      <c r="H206" s="11">
        <v>45886</v>
      </c>
      <c r="I206" s="11">
        <v>45886</v>
      </c>
      <c r="J206" s="11"/>
      <c r="K206" s="11"/>
    </row>
    <row r="207" spans="1:13" ht="15.75" customHeight="1">
      <c r="C207" s="1" t="s">
        <v>64</v>
      </c>
      <c r="D207" s="28"/>
      <c r="E207" s="29"/>
    </row>
    <row r="208" spans="1:13" ht="15.75" customHeight="1">
      <c r="A208" s="13"/>
      <c r="B208" s="14"/>
      <c r="C208" s="20"/>
      <c r="D208" s="30"/>
      <c r="E208" s="31"/>
      <c r="F208" s="16"/>
      <c r="G208" s="16"/>
      <c r="H208" s="17"/>
      <c r="I208" s="17"/>
      <c r="J208" s="17"/>
      <c r="K208" s="17"/>
      <c r="L208" s="16"/>
      <c r="M208" s="18"/>
    </row>
    <row r="209" spans="1:13" ht="15.75" customHeight="1">
      <c r="A209" s="8">
        <v>24</v>
      </c>
      <c r="B209" s="9" t="s">
        <v>36</v>
      </c>
      <c r="C209" s="19" t="s">
        <v>220</v>
      </c>
      <c r="D209" s="28" t="str">
        <f>TEXT(4.5/1440, "hh:mm:ss")</f>
        <v>00:04:30</v>
      </c>
      <c r="E209" s="29">
        <f>D209*3</f>
        <v>9.3750000000000014E-3</v>
      </c>
      <c r="H209" s="11">
        <v>45887</v>
      </c>
      <c r="I209" s="11">
        <v>45887</v>
      </c>
      <c r="J209" s="11"/>
      <c r="K209" s="11"/>
    </row>
    <row r="210" spans="1:13" ht="15.75" customHeight="1">
      <c r="C210" s="19" t="s">
        <v>221</v>
      </c>
      <c r="D210" s="28" t="str">
        <f>TEXT(28/1440, "hh:mm:ss")</f>
        <v>00:28:00</v>
      </c>
      <c r="E210" s="29">
        <f t="shared" ref="E210:E215" si="19">D210*3</f>
        <v>5.8333333333333334E-2</v>
      </c>
      <c r="H210" s="11">
        <v>45887</v>
      </c>
      <c r="I210" s="11">
        <v>45887</v>
      </c>
      <c r="J210" s="11"/>
      <c r="K210" s="11"/>
    </row>
    <row r="211" spans="1:13" ht="15.75" customHeight="1">
      <c r="C211" s="19" t="s">
        <v>222</v>
      </c>
      <c r="D211" s="28" t="str">
        <f>TEXT(12.31/1440, "hh:mm:ss")</f>
        <v>00:12:19</v>
      </c>
      <c r="E211" s="29">
        <f t="shared" si="19"/>
        <v>2.5659722222222223E-2</v>
      </c>
      <c r="H211" s="11">
        <v>45887</v>
      </c>
      <c r="I211" s="11">
        <v>45887</v>
      </c>
      <c r="J211" s="11"/>
      <c r="K211" s="11"/>
    </row>
    <row r="212" spans="1:13" ht="15.75" customHeight="1">
      <c r="C212" s="19" t="s">
        <v>223</v>
      </c>
      <c r="D212" s="28" t="str">
        <f>TEXT(14.3/1440, "hh:mm:ss")</f>
        <v>00:14:18</v>
      </c>
      <c r="E212" s="29">
        <f t="shared" si="19"/>
        <v>2.9791666666666668E-2</v>
      </c>
      <c r="H212" s="11">
        <v>45887</v>
      </c>
      <c r="I212" s="11">
        <v>45887</v>
      </c>
      <c r="J212" s="11"/>
      <c r="K212" s="11"/>
    </row>
    <row r="213" spans="1:13" ht="15.75" customHeight="1">
      <c r="C213" s="19" t="s">
        <v>224</v>
      </c>
      <c r="D213" s="28" t="str">
        <f>TEXT(8.56/1440, "hh:mm:ss")</f>
        <v>00:08:34</v>
      </c>
      <c r="E213" s="29">
        <f t="shared" si="19"/>
        <v>1.7847222222222223E-2</v>
      </c>
      <c r="H213" s="11">
        <v>45887</v>
      </c>
      <c r="I213" s="11">
        <v>45887</v>
      </c>
      <c r="J213" s="11"/>
      <c r="K213" s="11"/>
    </row>
    <row r="214" spans="1:13" ht="15.75" customHeight="1">
      <c r="C214" s="19" t="s">
        <v>225</v>
      </c>
      <c r="D214" s="28" t="str">
        <f>TEXT(10.49/1440, "hh:mm:ss")</f>
        <v>00:10:29</v>
      </c>
      <c r="E214" s="29">
        <f t="shared" si="19"/>
        <v>2.1840277777777778E-2</v>
      </c>
      <c r="H214" s="11">
        <v>45887</v>
      </c>
      <c r="I214" s="11">
        <v>45887</v>
      </c>
      <c r="J214" s="11"/>
      <c r="K214" s="11"/>
    </row>
    <row r="215" spans="1:13" ht="15.75" customHeight="1">
      <c r="C215" s="19" t="s">
        <v>226</v>
      </c>
      <c r="D215" s="28" t="str">
        <f>TEXT(15.23/1440, "hh:mm:ss")</f>
        <v>00:15:14</v>
      </c>
      <c r="E215" s="29">
        <f t="shared" si="19"/>
        <v>3.1736111111111111E-2</v>
      </c>
      <c r="H215" s="11">
        <v>45887</v>
      </c>
      <c r="I215" s="11">
        <v>45887</v>
      </c>
      <c r="J215" s="11"/>
      <c r="K215" s="11"/>
    </row>
    <row r="216" spans="1:13" ht="15.75" customHeight="1">
      <c r="C216" s="1" t="s">
        <v>64</v>
      </c>
      <c r="D216" s="28" t="str">
        <f>TEXT(120/1440, "hh:mm:ss")</f>
        <v>02:00:00</v>
      </c>
      <c r="E216" s="29">
        <v>120</v>
      </c>
      <c r="H216" s="11">
        <v>45888</v>
      </c>
      <c r="I216" s="11">
        <v>45888</v>
      </c>
      <c r="J216" s="11"/>
      <c r="K216" s="11"/>
    </row>
    <row r="217" spans="1:13" ht="15.75" customHeight="1">
      <c r="A217" s="13"/>
      <c r="B217" s="16"/>
      <c r="C217" s="23"/>
      <c r="D217" s="30"/>
      <c r="E217" s="31"/>
      <c r="F217" s="16"/>
      <c r="G217" s="16"/>
      <c r="H217" s="16"/>
      <c r="I217" s="16"/>
      <c r="J217" s="16"/>
      <c r="K217" s="16"/>
      <c r="L217" s="16"/>
      <c r="M217" s="16"/>
    </row>
    <row r="218" spans="1:13" ht="15.75" customHeight="1">
      <c r="A218" s="8">
        <v>25</v>
      </c>
      <c r="B218" s="9" t="s">
        <v>227</v>
      </c>
      <c r="C218" s="43" t="s">
        <v>228</v>
      </c>
      <c r="D218" s="28" t="str">
        <f>TEXT(9/1440, "hh:mm:ss")</f>
        <v>00:09:00</v>
      </c>
      <c r="E218" s="29">
        <f>D218*3</f>
        <v>1.8750000000000003E-2</v>
      </c>
      <c r="H218" s="11">
        <v>45888</v>
      </c>
      <c r="I218" s="11">
        <v>45888</v>
      </c>
      <c r="J218" s="11"/>
      <c r="K218" s="11"/>
    </row>
    <row r="219" spans="1:13" ht="15.75" customHeight="1">
      <c r="C219" s="43" t="s">
        <v>229</v>
      </c>
      <c r="D219" s="28" t="str">
        <f>TEXT(9.05/1440, "hh:mm:ss")</f>
        <v>00:09:03</v>
      </c>
      <c r="E219" s="29">
        <f t="shared" ref="E219:E227" si="20">D219*3</f>
        <v>1.8854166666666665E-2</v>
      </c>
      <c r="H219" s="11">
        <v>45888</v>
      </c>
      <c r="I219" s="11">
        <v>45888</v>
      </c>
      <c r="J219" s="11"/>
      <c r="K219" s="11"/>
    </row>
    <row r="220" spans="1:13" ht="15.75" customHeight="1">
      <c r="C220" s="43" t="s">
        <v>230</v>
      </c>
      <c r="D220" s="28" t="str">
        <f>TEXT(8.39/1440, "hh:mm:ss")</f>
        <v>00:08:23</v>
      </c>
      <c r="E220" s="29">
        <f t="shared" si="20"/>
        <v>1.7465277777777777E-2</v>
      </c>
      <c r="H220" s="11">
        <v>45888</v>
      </c>
      <c r="I220" s="11">
        <v>45888</v>
      </c>
      <c r="J220" s="11"/>
      <c r="K220" s="11"/>
    </row>
    <row r="221" spans="1:13" ht="15.75" customHeight="1">
      <c r="C221" s="43" t="s">
        <v>231</v>
      </c>
      <c r="D221" s="28" t="str">
        <f>TEXT(2/1440, "hh:mm:ss")</f>
        <v>00:02:00</v>
      </c>
      <c r="E221" s="29">
        <f t="shared" si="20"/>
        <v>4.1666666666666666E-3</v>
      </c>
      <c r="H221" s="11">
        <v>45888</v>
      </c>
      <c r="I221" s="11">
        <v>45888</v>
      </c>
      <c r="J221" s="11"/>
      <c r="K221" s="11"/>
    </row>
    <row r="222" spans="1:13" ht="15.75" customHeight="1">
      <c r="C222" s="43" t="s">
        <v>232</v>
      </c>
      <c r="D222" s="28" t="str">
        <f>TEXT(11.35/1440, "hh:mm:ss")</f>
        <v>00:11:21</v>
      </c>
      <c r="E222" s="29">
        <f t="shared" si="20"/>
        <v>2.3645833333333335E-2</v>
      </c>
      <c r="H222" s="11">
        <v>45888</v>
      </c>
      <c r="I222" s="11">
        <v>45888</v>
      </c>
      <c r="J222" s="11"/>
      <c r="K222" s="11"/>
    </row>
    <row r="223" spans="1:13" ht="15.75" customHeight="1">
      <c r="C223" s="43" t="s">
        <v>233</v>
      </c>
      <c r="D223" s="28" t="str">
        <f>TEXT(9/1440, "hh:mm:ss")</f>
        <v>00:09:00</v>
      </c>
      <c r="E223" s="29">
        <f t="shared" si="20"/>
        <v>1.8750000000000003E-2</v>
      </c>
      <c r="H223" s="11">
        <v>45888</v>
      </c>
      <c r="I223" s="11">
        <v>45888</v>
      </c>
      <c r="J223" s="11"/>
      <c r="K223" s="11"/>
    </row>
    <row r="224" spans="1:13" ht="15.75" customHeight="1">
      <c r="C224" s="43" t="s">
        <v>234</v>
      </c>
      <c r="D224" s="28" t="str">
        <f>TEXT(16/1440, "hh:mm:ss")</f>
        <v>00:16:00</v>
      </c>
      <c r="E224" s="29">
        <f t="shared" si="20"/>
        <v>3.3333333333333333E-2</v>
      </c>
      <c r="H224" s="11">
        <v>45888</v>
      </c>
      <c r="I224" s="11">
        <v>45888</v>
      </c>
      <c r="J224" s="11"/>
      <c r="K224" s="11"/>
    </row>
    <row r="225" spans="1:13" ht="15.75" customHeight="1">
      <c r="C225" s="43" t="s">
        <v>235</v>
      </c>
      <c r="D225" s="28" t="str">
        <f>TEXT(6.15/1440, "hh:mm:ss")</f>
        <v>00:06:09</v>
      </c>
      <c r="E225" s="29">
        <f t="shared" si="20"/>
        <v>1.2812499999999999E-2</v>
      </c>
      <c r="H225" s="11">
        <v>45888</v>
      </c>
      <c r="I225" s="11">
        <v>45888</v>
      </c>
      <c r="J225" s="11"/>
      <c r="K225" s="11"/>
    </row>
    <row r="226" spans="1:13" ht="15.75" customHeight="1">
      <c r="C226" s="43" t="s">
        <v>236</v>
      </c>
      <c r="D226" s="28" t="str">
        <f>TEXT(24.55/1440, "hh:mm:ss")</f>
        <v>00:24:33</v>
      </c>
      <c r="E226" s="29">
        <f t="shared" si="20"/>
        <v>5.1145833333333335E-2</v>
      </c>
      <c r="H226" s="11">
        <v>45888</v>
      </c>
      <c r="I226" s="11">
        <v>45888</v>
      </c>
      <c r="J226" s="11"/>
      <c r="K226" s="11"/>
    </row>
    <row r="227" spans="1:13" ht="15.75" customHeight="1">
      <c r="C227" s="43" t="s">
        <v>237</v>
      </c>
      <c r="D227" s="28" t="str">
        <f>TEXT(14.17/1440, "hh:mm:ss")</f>
        <v>00:14:10</v>
      </c>
      <c r="E227" s="29">
        <f t="shared" si="20"/>
        <v>2.9513888888888888E-2</v>
      </c>
      <c r="H227" s="11">
        <v>45888</v>
      </c>
      <c r="I227" s="11">
        <v>45888</v>
      </c>
      <c r="J227" s="11"/>
      <c r="K227" s="11"/>
    </row>
    <row r="228" spans="1:13" ht="15.75" customHeight="1">
      <c r="A228" s="13"/>
      <c r="B228" s="14"/>
      <c r="C228" s="44"/>
      <c r="D228" s="30"/>
      <c r="E228" s="31"/>
      <c r="F228" s="16"/>
      <c r="G228" s="16"/>
      <c r="H228" s="17"/>
      <c r="I228" s="17"/>
      <c r="J228" s="17"/>
      <c r="K228" s="17"/>
      <c r="L228" s="16"/>
      <c r="M228" s="18"/>
    </row>
    <row r="229" spans="1:13" ht="15.75" customHeight="1">
      <c r="A229" s="8">
        <v>25</v>
      </c>
      <c r="B229" s="9" t="s">
        <v>38</v>
      </c>
      <c r="C229" s="43" t="s">
        <v>238</v>
      </c>
      <c r="D229" s="28" t="str">
        <f>TEXT(8.41/1440, "hh:mm:ss")</f>
        <v>00:08:25</v>
      </c>
      <c r="E229" s="29">
        <f>D229*3</f>
        <v>1.7534722222222222E-2</v>
      </c>
      <c r="H229" s="11">
        <v>45889</v>
      </c>
      <c r="I229" s="11">
        <v>45889</v>
      </c>
      <c r="J229" s="11"/>
      <c r="K229" s="11"/>
    </row>
    <row r="230" spans="1:13" ht="15.75" customHeight="1">
      <c r="C230" s="43" t="s">
        <v>239</v>
      </c>
      <c r="D230" s="28" t="str">
        <f>TEXT(14.08/1440, "hh:mm:ss")</f>
        <v>00:14:05</v>
      </c>
      <c r="E230" s="29">
        <f t="shared" ref="E230:E232" si="21">D230*3</f>
        <v>2.9340277777777778E-2</v>
      </c>
      <c r="H230" s="11">
        <v>45889</v>
      </c>
      <c r="I230" s="11">
        <v>45889</v>
      </c>
      <c r="J230" s="11"/>
      <c r="K230" s="11"/>
    </row>
    <row r="231" spans="1:13" ht="15.75" customHeight="1">
      <c r="C231" s="43" t="s">
        <v>240</v>
      </c>
      <c r="D231" s="28" t="str">
        <f>TEXT(24.28/1440, "hh:mm:ss")</f>
        <v>00:24:17</v>
      </c>
      <c r="E231" s="29">
        <f t="shared" si="21"/>
        <v>5.0590277777777783E-2</v>
      </c>
      <c r="H231" s="11">
        <v>45889</v>
      </c>
      <c r="I231" s="11">
        <v>45889</v>
      </c>
      <c r="J231" s="11"/>
      <c r="K231" s="11"/>
    </row>
    <row r="232" spans="1:13" ht="15.75" customHeight="1">
      <c r="C232" s="43" t="s">
        <v>240</v>
      </c>
      <c r="D232" s="28" t="str">
        <f>TEXT(19/1440, "hh:mm:ss")</f>
        <v>00:19:00</v>
      </c>
      <c r="E232" s="29">
        <f t="shared" si="21"/>
        <v>3.9583333333333331E-2</v>
      </c>
      <c r="H232" s="11">
        <v>45889</v>
      </c>
      <c r="I232" s="11">
        <v>45889</v>
      </c>
      <c r="J232" s="11"/>
      <c r="K232" s="11"/>
    </row>
    <row r="233" spans="1:13" ht="15.75" customHeight="1">
      <c r="C233" s="45"/>
      <c r="D233" s="28"/>
      <c r="E233" s="29"/>
    </row>
    <row r="234" spans="1:13" ht="15.75" customHeight="1">
      <c r="A234" s="13"/>
      <c r="B234" s="14"/>
      <c r="C234" s="44"/>
      <c r="D234" s="30"/>
      <c r="E234" s="31"/>
      <c r="F234" s="16"/>
      <c r="G234" s="16"/>
      <c r="H234" s="17"/>
      <c r="I234" s="17"/>
      <c r="J234" s="17"/>
      <c r="K234" s="17"/>
      <c r="L234" s="16"/>
      <c r="M234" s="18"/>
    </row>
    <row r="235" spans="1:13" ht="15.75" customHeight="1">
      <c r="A235" s="8">
        <v>26</v>
      </c>
      <c r="B235" s="9" t="s">
        <v>39</v>
      </c>
      <c r="C235" s="43" t="s">
        <v>241</v>
      </c>
      <c r="D235" s="28" t="str">
        <f>TEXT(12.31/1440, "hh:mm:ss")</f>
        <v>00:12:19</v>
      </c>
      <c r="E235" s="29">
        <f>D235*3</f>
        <v>2.5659722222222223E-2</v>
      </c>
      <c r="H235" s="11">
        <v>45889</v>
      </c>
      <c r="I235" s="11">
        <v>45889</v>
      </c>
      <c r="J235" s="11"/>
      <c r="K235" s="11"/>
    </row>
    <row r="236" spans="1:13" ht="15.75" customHeight="1">
      <c r="C236" s="43" t="s">
        <v>242</v>
      </c>
      <c r="D236" s="28" t="str">
        <f>TEXT(18.18/1440, "hh:mm:ss")</f>
        <v>00:18:11</v>
      </c>
      <c r="E236" s="29">
        <f t="shared" ref="E236:E239" si="22">D236*3</f>
        <v>3.7881944444444447E-2</v>
      </c>
      <c r="H236" s="11">
        <v>45889</v>
      </c>
      <c r="I236" s="11">
        <v>45889</v>
      </c>
      <c r="J236" s="11"/>
      <c r="K236" s="11"/>
    </row>
    <row r="237" spans="1:13" ht="15.75" customHeight="1">
      <c r="C237" s="43" t="s">
        <v>243</v>
      </c>
      <c r="D237" s="28" t="str">
        <f>TEXT(12/1440, "hh:mm:ss")</f>
        <v>00:12:00</v>
      </c>
      <c r="E237" s="29">
        <f t="shared" si="22"/>
        <v>2.5000000000000001E-2</v>
      </c>
      <c r="H237" s="11">
        <v>45890</v>
      </c>
      <c r="I237" s="11">
        <v>45890</v>
      </c>
      <c r="J237" s="11"/>
      <c r="K237" s="11"/>
    </row>
    <row r="238" spans="1:13" ht="15.75" customHeight="1">
      <c r="C238" s="43" t="s">
        <v>244</v>
      </c>
      <c r="D238" s="28" t="str">
        <f>TEXT(20/1440, "hh:mm:ss")</f>
        <v>00:20:00</v>
      </c>
      <c r="E238" s="29">
        <f t="shared" si="22"/>
        <v>4.1666666666666664E-2</v>
      </c>
      <c r="H238" s="11">
        <v>45890</v>
      </c>
      <c r="I238" s="11">
        <v>45890</v>
      </c>
      <c r="J238" s="11"/>
      <c r="K238" s="11"/>
    </row>
    <row r="239" spans="1:13" ht="15.75" customHeight="1">
      <c r="C239" s="45" t="s">
        <v>245</v>
      </c>
      <c r="D239" s="28" t="str">
        <f>TEXT(6.1/1440, "hh:mm:ss")</f>
        <v>00:06:06</v>
      </c>
      <c r="E239" s="29">
        <f t="shared" si="22"/>
        <v>1.2708333333333335E-2</v>
      </c>
      <c r="H239" s="11">
        <v>45890</v>
      </c>
      <c r="I239" s="11">
        <v>45890</v>
      </c>
      <c r="J239" s="11"/>
      <c r="K239" s="11"/>
    </row>
    <row r="240" spans="1:13" ht="15.75" customHeight="1">
      <c r="C240" s="24" t="s">
        <v>64</v>
      </c>
      <c r="D240" s="28" t="str">
        <f>TEXT(120/1440, "hh:mm:ss")</f>
        <v>02:00:00</v>
      </c>
      <c r="E240" s="29">
        <v>120</v>
      </c>
      <c r="H240" s="11">
        <v>45890</v>
      </c>
      <c r="I240" s="11">
        <v>45890</v>
      </c>
      <c r="J240" s="11"/>
      <c r="K240" s="11"/>
    </row>
    <row r="241" spans="1:13" ht="15.75" customHeight="1">
      <c r="A241" s="13"/>
      <c r="B241" s="14"/>
      <c r="C241" s="20"/>
      <c r="D241" s="30"/>
      <c r="E241" s="31"/>
      <c r="F241" s="16"/>
      <c r="G241" s="16"/>
      <c r="H241" s="17"/>
      <c r="I241" s="17"/>
      <c r="J241" s="17"/>
      <c r="K241" s="17"/>
      <c r="L241" s="16"/>
      <c r="M241" s="18"/>
    </row>
    <row r="242" spans="1:13" ht="15.75" customHeight="1">
      <c r="A242" s="8">
        <v>27</v>
      </c>
      <c r="B242" s="9" t="s">
        <v>40</v>
      </c>
      <c r="C242" s="2" t="s">
        <v>246</v>
      </c>
      <c r="D242" s="28" t="str">
        <f>TEXT(10.1/1440, "hh:mm:ss")</f>
        <v>00:10:06</v>
      </c>
      <c r="E242" s="29">
        <f>D242*3</f>
        <v>2.1041666666666667E-2</v>
      </c>
      <c r="H242" s="11">
        <v>45891</v>
      </c>
      <c r="I242" s="11">
        <v>45891</v>
      </c>
      <c r="J242" s="11"/>
      <c r="K242" s="11"/>
    </row>
    <row r="243" spans="1:13" ht="15.75" customHeight="1">
      <c r="C243" s="19" t="s">
        <v>247</v>
      </c>
      <c r="D243" s="28" t="str">
        <f>TEXT(6/1440, "hh:mm:ss")</f>
        <v>00:06:00</v>
      </c>
      <c r="E243" s="29">
        <f t="shared" ref="E243:E250" si="23">D243*3</f>
        <v>1.2500000000000001E-2</v>
      </c>
      <c r="H243" s="11">
        <v>45891</v>
      </c>
      <c r="I243" s="11">
        <v>45891</v>
      </c>
      <c r="J243" s="11"/>
      <c r="K243" s="11"/>
    </row>
    <row r="244" spans="1:13" ht="15.75" customHeight="1">
      <c r="C244" s="19" t="s">
        <v>248</v>
      </c>
      <c r="D244" s="28" t="str">
        <f>TEXT(15.5/1440, "hh:mm:ss")</f>
        <v>00:15:30</v>
      </c>
      <c r="E244" s="29">
        <f t="shared" si="23"/>
        <v>3.2291666666666663E-2</v>
      </c>
      <c r="H244" s="11">
        <v>45891</v>
      </c>
      <c r="I244" s="11">
        <v>45891</v>
      </c>
      <c r="J244" s="11"/>
      <c r="K244" s="11"/>
    </row>
    <row r="245" spans="1:13" ht="15.75" customHeight="1">
      <c r="C245" s="19" t="s">
        <v>249</v>
      </c>
      <c r="D245" s="28" t="str">
        <f>TEXT(9/1440, "hh:mm:ss")</f>
        <v>00:09:00</v>
      </c>
      <c r="E245" s="29">
        <f t="shared" si="23"/>
        <v>1.8750000000000003E-2</v>
      </c>
      <c r="H245" s="11">
        <v>45891</v>
      </c>
      <c r="I245" s="11">
        <v>45891</v>
      </c>
      <c r="J245" s="11"/>
      <c r="K245" s="11"/>
    </row>
    <row r="246" spans="1:13" ht="15.75" customHeight="1">
      <c r="C246" s="19" t="s">
        <v>250</v>
      </c>
      <c r="D246" s="28"/>
      <c r="E246" s="29"/>
      <c r="H246" s="11">
        <v>45891</v>
      </c>
      <c r="I246" s="11">
        <v>45891</v>
      </c>
      <c r="J246" s="11"/>
      <c r="K246" s="11"/>
    </row>
    <row r="247" spans="1:13" ht="15.75" customHeight="1">
      <c r="C247" s="19" t="s">
        <v>251</v>
      </c>
      <c r="D247" s="28" t="str">
        <f>TEXT(11/1440, "hh:mm:ss")</f>
        <v>00:11:00</v>
      </c>
      <c r="E247" s="29">
        <f t="shared" si="23"/>
        <v>2.2916666666666665E-2</v>
      </c>
      <c r="H247" s="11">
        <v>45891</v>
      </c>
      <c r="I247" s="11">
        <v>45891</v>
      </c>
      <c r="J247" s="11"/>
      <c r="K247" s="11"/>
    </row>
    <row r="248" spans="1:13" ht="15.75" customHeight="1">
      <c r="C248" s="19" t="s">
        <v>252</v>
      </c>
      <c r="D248" s="28" t="str">
        <f>TEXT(10/1440, "hh:mm:ss")</f>
        <v>00:10:00</v>
      </c>
      <c r="E248" s="29">
        <f t="shared" si="23"/>
        <v>2.0833333333333332E-2</v>
      </c>
      <c r="H248" s="11">
        <v>45891</v>
      </c>
      <c r="I248" s="11">
        <v>45891</v>
      </c>
      <c r="J248" s="11"/>
      <c r="K248" s="11"/>
    </row>
    <row r="249" spans="1:13" ht="15.75" customHeight="1">
      <c r="C249" s="19" t="s">
        <v>253</v>
      </c>
      <c r="D249" s="28" t="str">
        <f>TEXT(9/1440, "hh:mm:ss")</f>
        <v>00:09:00</v>
      </c>
      <c r="E249" s="29">
        <f t="shared" si="23"/>
        <v>1.8750000000000003E-2</v>
      </c>
      <c r="H249" s="11">
        <v>45891</v>
      </c>
      <c r="I249" s="11">
        <v>45891</v>
      </c>
      <c r="J249" s="11"/>
      <c r="K249" s="11"/>
    </row>
    <row r="250" spans="1:13" ht="15.75" customHeight="1">
      <c r="C250" s="19" t="s">
        <v>254</v>
      </c>
      <c r="D250" s="28" t="str">
        <f>TEXT(16.3/1440, "hh:mm:ss")</f>
        <v>00:16:18</v>
      </c>
      <c r="E250" s="29">
        <f t="shared" si="23"/>
        <v>3.3958333333333333E-2</v>
      </c>
      <c r="H250" s="11">
        <v>45891</v>
      </c>
      <c r="I250" s="11">
        <v>45891</v>
      </c>
      <c r="J250" s="11"/>
      <c r="K250" s="11"/>
    </row>
    <row r="251" spans="1:13" ht="15.75" customHeight="1">
      <c r="C251" s="1" t="s">
        <v>64</v>
      </c>
      <c r="D251" s="28" t="str">
        <f>TEXT(240/1440, "hh:mm:ss")</f>
        <v>04:00:00</v>
      </c>
      <c r="E251" s="29">
        <v>240</v>
      </c>
      <c r="H251" s="11">
        <v>45892</v>
      </c>
      <c r="I251" s="11">
        <v>45892</v>
      </c>
      <c r="J251" s="11"/>
      <c r="K251" s="11"/>
    </row>
    <row r="252" spans="1:13" ht="15.75" customHeight="1">
      <c r="A252" s="13"/>
      <c r="B252" s="14"/>
      <c r="C252" s="20"/>
      <c r="D252" s="30"/>
      <c r="E252" s="31"/>
      <c r="F252" s="16"/>
      <c r="G252" s="16"/>
      <c r="H252" s="17"/>
      <c r="I252" s="17"/>
      <c r="J252" s="17"/>
      <c r="K252" s="17"/>
      <c r="L252" s="16"/>
      <c r="M252" s="18"/>
    </row>
    <row r="253" spans="1:13" ht="15.75" customHeight="1">
      <c r="A253" s="8">
        <v>28</v>
      </c>
      <c r="B253" s="9" t="s">
        <v>41</v>
      </c>
      <c r="C253" s="19" t="s">
        <v>255</v>
      </c>
      <c r="D253" s="28" t="str">
        <f>TEXT(11/1440, "hh:mm:ss")</f>
        <v>00:11:00</v>
      </c>
      <c r="E253" s="29">
        <f>D253*3</f>
        <v>2.2916666666666665E-2</v>
      </c>
      <c r="H253" s="11">
        <v>45892</v>
      </c>
      <c r="I253" s="11">
        <v>45892</v>
      </c>
      <c r="J253" s="11"/>
      <c r="K253" s="11"/>
    </row>
    <row r="254" spans="1:13" ht="15.75" customHeight="1">
      <c r="C254" s="19" t="s">
        <v>256</v>
      </c>
      <c r="D254" s="28" t="str">
        <f>TEXT(10/1440, "hh:mm:ss")</f>
        <v>00:10:00</v>
      </c>
      <c r="E254" s="29">
        <f t="shared" ref="E254:E257" si="24">D254*3</f>
        <v>2.0833333333333332E-2</v>
      </c>
      <c r="H254" s="11">
        <v>45892</v>
      </c>
      <c r="I254" s="11">
        <v>45892</v>
      </c>
      <c r="J254" s="11"/>
      <c r="K254" s="11"/>
    </row>
    <row r="255" spans="1:13" ht="15.75" customHeight="1">
      <c r="C255" s="19" t="s">
        <v>257</v>
      </c>
      <c r="D255" s="28" t="str">
        <f>TEXT(13/1440, "hh:mm:ss")</f>
        <v>00:13:00</v>
      </c>
      <c r="E255" s="29">
        <f t="shared" si="24"/>
        <v>2.7083333333333331E-2</v>
      </c>
      <c r="H255" s="11">
        <v>45892</v>
      </c>
      <c r="I255" s="11">
        <v>45892</v>
      </c>
      <c r="J255" s="11"/>
      <c r="K255" s="11"/>
    </row>
    <row r="256" spans="1:13" ht="15.75" customHeight="1">
      <c r="C256" s="19" t="s">
        <v>258</v>
      </c>
      <c r="D256" s="28" t="str">
        <f>TEXT(8.3/1440, "hh:mm:ss")</f>
        <v>00:08:18</v>
      </c>
      <c r="E256" s="29">
        <f t="shared" si="24"/>
        <v>1.7291666666666667E-2</v>
      </c>
      <c r="H256" s="11">
        <v>45892</v>
      </c>
      <c r="I256" s="11">
        <v>45892</v>
      </c>
      <c r="J256" s="11"/>
      <c r="K256" s="11"/>
    </row>
    <row r="257" spans="1:13" ht="15.75" customHeight="1">
      <c r="C257" s="19" t="s">
        <v>259</v>
      </c>
      <c r="D257" s="28" t="str">
        <f>TEXT(27/1440, "hh:mm:ss")</f>
        <v>00:27:00</v>
      </c>
      <c r="E257" s="29">
        <f>D257*3</f>
        <v>5.6249999999999994E-2</v>
      </c>
      <c r="H257" s="11">
        <v>45893</v>
      </c>
      <c r="I257" s="11">
        <v>45893</v>
      </c>
      <c r="J257" s="11"/>
      <c r="K257" s="11"/>
    </row>
    <row r="258" spans="1:13" ht="15.75" customHeight="1">
      <c r="C258" s="1" t="s">
        <v>64</v>
      </c>
      <c r="D258" s="28" t="str">
        <f>TEXT(60/1440, "hh:mm:ss")</f>
        <v>01:00:00</v>
      </c>
      <c r="E258" s="29">
        <v>60</v>
      </c>
      <c r="H258" s="11">
        <v>45893</v>
      </c>
      <c r="I258" s="11">
        <v>45893</v>
      </c>
      <c r="J258" s="11"/>
      <c r="K258" s="11"/>
    </row>
    <row r="259" spans="1:13" ht="15.75" customHeight="1">
      <c r="A259" s="13"/>
      <c r="B259" s="14"/>
      <c r="C259" s="20"/>
      <c r="D259" s="30"/>
      <c r="E259" s="31"/>
      <c r="F259" s="16"/>
      <c r="G259" s="16"/>
      <c r="H259" s="17"/>
      <c r="I259" s="17"/>
      <c r="J259" s="17"/>
      <c r="K259" s="17"/>
      <c r="L259" s="16"/>
      <c r="M259" s="18"/>
    </row>
    <row r="260" spans="1:13" ht="15.75" customHeight="1">
      <c r="A260" s="8">
        <v>29</v>
      </c>
      <c r="B260" s="9" t="s">
        <v>42</v>
      </c>
      <c r="C260" s="19" t="s">
        <v>260</v>
      </c>
      <c r="D260" s="28" t="str">
        <f>TEXT(20/1440, "hh:mm:ss")</f>
        <v>00:20:00</v>
      </c>
      <c r="E260" s="29">
        <f>D260*3</f>
        <v>4.1666666666666664E-2</v>
      </c>
      <c r="H260" s="11">
        <v>45894</v>
      </c>
      <c r="I260" s="11">
        <v>45894</v>
      </c>
      <c r="J260" s="11"/>
      <c r="K260" s="11"/>
    </row>
    <row r="261" spans="1:13" ht="15.75" customHeight="1">
      <c r="C261" s="19" t="s">
        <v>261</v>
      </c>
      <c r="D261" s="28" t="str">
        <f>TEXT(29/1440, "hh:mm:ss")</f>
        <v>00:29:00</v>
      </c>
      <c r="E261" s="29">
        <f t="shared" ref="E261:E270" si="25">D261*3</f>
        <v>6.0416666666666674E-2</v>
      </c>
      <c r="H261" s="11">
        <v>45894</v>
      </c>
      <c r="I261" s="11">
        <v>45894</v>
      </c>
      <c r="J261" s="11"/>
      <c r="K261" s="11"/>
    </row>
    <row r="262" spans="1:13" ht="15.75" customHeight="1">
      <c r="C262" s="19" t="s">
        <v>262</v>
      </c>
      <c r="D262" s="28" t="str">
        <f>TEXT(10/1440, "hh:mm:ss")</f>
        <v>00:10:00</v>
      </c>
      <c r="E262" s="29">
        <f t="shared" si="25"/>
        <v>2.0833333333333332E-2</v>
      </c>
      <c r="H262" s="11">
        <v>45894</v>
      </c>
      <c r="I262" s="11">
        <v>45894</v>
      </c>
      <c r="J262" s="11"/>
      <c r="K262" s="11"/>
    </row>
    <row r="263" spans="1:13" ht="15.75" customHeight="1">
      <c r="C263" s="19" t="s">
        <v>263</v>
      </c>
      <c r="D263" s="28" t="str">
        <f>TEXT(14/1440, "hh:mm:ss")</f>
        <v>00:14:00</v>
      </c>
      <c r="E263" s="29">
        <f t="shared" si="25"/>
        <v>2.9166666666666667E-2</v>
      </c>
      <c r="H263" s="11">
        <v>45894</v>
      </c>
      <c r="I263" s="11">
        <v>45894</v>
      </c>
      <c r="J263" s="11"/>
      <c r="K263" s="11"/>
    </row>
    <row r="264" spans="1:13" ht="15.75" customHeight="1">
      <c r="C264" s="19" t="s">
        <v>264</v>
      </c>
      <c r="D264" s="28" t="str">
        <f>TEXT(25/1440, "hh:mm:ss")</f>
        <v>00:25:00</v>
      </c>
      <c r="E264" s="29">
        <f t="shared" si="25"/>
        <v>5.2083333333333336E-2</v>
      </c>
      <c r="H264" s="11">
        <v>45894</v>
      </c>
      <c r="I264" s="11">
        <v>45894</v>
      </c>
      <c r="J264" s="11"/>
      <c r="K264" s="11"/>
    </row>
    <row r="265" spans="1:13" ht="15.75" customHeight="1">
      <c r="C265" s="19" t="s">
        <v>265</v>
      </c>
      <c r="D265" s="28" t="str">
        <f>TEXT(29/1440, "hh:mm:ss")</f>
        <v>00:29:00</v>
      </c>
      <c r="E265" s="29">
        <f t="shared" si="25"/>
        <v>6.0416666666666674E-2</v>
      </c>
      <c r="H265" s="11">
        <v>45894</v>
      </c>
      <c r="I265" s="11">
        <v>45894</v>
      </c>
      <c r="J265" s="11"/>
      <c r="K265" s="11"/>
    </row>
    <row r="266" spans="1:13" ht="15.75" customHeight="1">
      <c r="C266" s="19" t="s">
        <v>266</v>
      </c>
      <c r="D266" s="28" t="str">
        <f>TEXT(30/1440, "hh:mm:ss")</f>
        <v>00:30:00</v>
      </c>
      <c r="E266" s="29">
        <f t="shared" si="25"/>
        <v>6.25E-2</v>
      </c>
      <c r="H266" s="11">
        <v>45895</v>
      </c>
      <c r="I266" s="11">
        <v>45895</v>
      </c>
      <c r="J266" s="11"/>
      <c r="K266" s="11"/>
    </row>
    <row r="267" spans="1:13" ht="15.75" customHeight="1">
      <c r="C267" s="19" t="s">
        <v>267</v>
      </c>
      <c r="D267" s="28" t="str">
        <f>TEXT(15/1440, "hh:mm:ss")</f>
        <v>00:15:00</v>
      </c>
      <c r="E267" s="29">
        <f t="shared" si="25"/>
        <v>3.125E-2</v>
      </c>
      <c r="H267" s="11">
        <v>45895</v>
      </c>
      <c r="I267" s="11">
        <v>45895</v>
      </c>
      <c r="J267" s="11"/>
      <c r="K267" s="11"/>
    </row>
    <row r="268" spans="1:13" ht="15.75" customHeight="1">
      <c r="C268" s="19" t="s">
        <v>268</v>
      </c>
      <c r="D268" s="28" t="str">
        <f>TEXT(25/1440, "hh:mm:ss")</f>
        <v>00:25:00</v>
      </c>
      <c r="E268" s="29">
        <f t="shared" si="25"/>
        <v>5.2083333333333336E-2</v>
      </c>
      <c r="H268" s="11">
        <v>45895</v>
      </c>
      <c r="I268" s="11">
        <v>45895</v>
      </c>
      <c r="J268" s="11"/>
      <c r="K268" s="11"/>
    </row>
    <row r="269" spans="1:13" ht="15.75" customHeight="1">
      <c r="C269" s="19" t="s">
        <v>269</v>
      </c>
      <c r="D269" s="28" t="str">
        <f>TEXT(15/1440, "hh:mm:ss")</f>
        <v>00:15:00</v>
      </c>
      <c r="E269" s="29">
        <f t="shared" si="25"/>
        <v>3.125E-2</v>
      </c>
      <c r="H269" s="11">
        <v>45895</v>
      </c>
      <c r="I269" s="11">
        <v>45895</v>
      </c>
      <c r="J269" s="11"/>
      <c r="K269" s="11"/>
    </row>
    <row r="270" spans="1:13" ht="15.75" customHeight="1">
      <c r="C270" s="19" t="s">
        <v>270</v>
      </c>
      <c r="D270" s="28" t="str">
        <f>TEXT(16.3/1440, "hh:mm:ss")</f>
        <v>00:16:18</v>
      </c>
      <c r="E270" s="29">
        <f t="shared" si="25"/>
        <v>3.3958333333333333E-2</v>
      </c>
      <c r="H270" s="11">
        <v>45895</v>
      </c>
      <c r="I270" s="11">
        <v>45895</v>
      </c>
      <c r="J270" s="11"/>
      <c r="K270" s="11"/>
    </row>
    <row r="271" spans="1:13" ht="15.75" customHeight="1">
      <c r="C271" s="1" t="s">
        <v>64</v>
      </c>
      <c r="D271" s="28" t="str">
        <f>TEXT(180/1440, "hh:mm:ss")</f>
        <v>03:00:00</v>
      </c>
      <c r="E271" s="29">
        <v>180</v>
      </c>
      <c r="H271" s="11">
        <v>45895</v>
      </c>
      <c r="I271" s="11">
        <v>45895</v>
      </c>
      <c r="J271" s="11"/>
      <c r="K271" s="11"/>
    </row>
    <row r="272" spans="1:13" ht="15.75" customHeight="1">
      <c r="A272" s="13"/>
      <c r="B272" s="14"/>
      <c r="C272" s="20"/>
      <c r="D272" s="30"/>
      <c r="E272" s="31"/>
      <c r="F272" s="16"/>
      <c r="G272" s="16"/>
      <c r="H272" s="17"/>
      <c r="I272" s="17"/>
      <c r="J272" s="17"/>
      <c r="K272" s="17"/>
      <c r="L272" s="16"/>
      <c r="M272" s="18"/>
    </row>
    <row r="273" spans="1:13" ht="15.75" customHeight="1">
      <c r="A273" s="8">
        <v>30</v>
      </c>
      <c r="B273" s="9" t="s">
        <v>43</v>
      </c>
      <c r="C273" s="19" t="s">
        <v>271</v>
      </c>
      <c r="D273" s="28" t="str">
        <f>TEXT(9.3/1440, "hh:mm:ss")</f>
        <v>00:09:18</v>
      </c>
      <c r="E273" s="29">
        <f>D273*3</f>
        <v>1.9375E-2</v>
      </c>
      <c r="H273" s="11">
        <v>45896</v>
      </c>
      <c r="I273" s="11">
        <v>45896</v>
      </c>
      <c r="J273" s="11"/>
      <c r="K273" s="11"/>
    </row>
    <row r="274" spans="1:13" ht="15.75" customHeight="1">
      <c r="C274" s="19" t="s">
        <v>272</v>
      </c>
      <c r="D274" s="28" t="str">
        <f>TEXT(7.3/1440, "hh:mm:ss")</f>
        <v>00:07:18</v>
      </c>
      <c r="E274" s="29">
        <f t="shared" ref="E274:E279" si="26">D274*3</f>
        <v>1.5208333333333332E-2</v>
      </c>
      <c r="H274" s="11">
        <v>45896</v>
      </c>
      <c r="I274" s="11">
        <v>45896</v>
      </c>
      <c r="J274" s="11"/>
      <c r="K274" s="11"/>
    </row>
    <row r="275" spans="1:13" ht="15.75" customHeight="1">
      <c r="C275" s="19" t="s">
        <v>273</v>
      </c>
      <c r="D275" s="28" t="str">
        <f>TEXT(5.3/1440, "hh:mm:ss")</f>
        <v>00:05:18</v>
      </c>
      <c r="E275" s="29">
        <f t="shared" si="26"/>
        <v>1.1041666666666667E-2</v>
      </c>
      <c r="H275" s="11">
        <v>45896</v>
      </c>
      <c r="I275" s="11">
        <v>45896</v>
      </c>
      <c r="J275" s="11"/>
      <c r="K275" s="11"/>
    </row>
    <row r="276" spans="1:13" ht="15.75" customHeight="1">
      <c r="C276" s="19" t="s">
        <v>274</v>
      </c>
      <c r="D276" s="28" t="str">
        <f>TEXT(5.3/1440, "hh:mm:ss")</f>
        <v>00:05:18</v>
      </c>
      <c r="E276" s="29">
        <f t="shared" si="26"/>
        <v>1.1041666666666667E-2</v>
      </c>
      <c r="H276" s="11">
        <v>45896</v>
      </c>
      <c r="I276" s="11">
        <v>45896</v>
      </c>
      <c r="J276" s="11"/>
      <c r="K276" s="11"/>
    </row>
    <row r="277" spans="1:13" ht="15.75" customHeight="1">
      <c r="C277" s="19" t="s">
        <v>275</v>
      </c>
      <c r="D277" s="28" t="str">
        <f>TEXT(8/1440, "hh:mm:ss")</f>
        <v>00:08:00</v>
      </c>
      <c r="E277" s="29">
        <f t="shared" si="26"/>
        <v>1.6666666666666666E-2</v>
      </c>
      <c r="H277" s="11">
        <v>45896</v>
      </c>
      <c r="I277" s="11">
        <v>45896</v>
      </c>
      <c r="J277" s="11"/>
      <c r="K277" s="11"/>
    </row>
    <row r="278" spans="1:13" ht="15.75" customHeight="1">
      <c r="C278" s="19" t="s">
        <v>276</v>
      </c>
      <c r="D278" s="28" t="str">
        <f>TEXT(8.2/1440, "hh:mm:ss")</f>
        <v>00:08:12</v>
      </c>
      <c r="E278" s="29">
        <f t="shared" si="26"/>
        <v>1.7083333333333332E-2</v>
      </c>
      <c r="H278" s="11">
        <v>45896</v>
      </c>
      <c r="I278" s="11">
        <v>45896</v>
      </c>
      <c r="J278" s="11"/>
      <c r="K278" s="11"/>
    </row>
    <row r="279" spans="1:13" ht="15.75" customHeight="1">
      <c r="C279" s="19" t="s">
        <v>277</v>
      </c>
      <c r="D279" s="28" t="str">
        <f>TEXT(7/1440, "hh:mm:ss")</f>
        <v>00:07:00</v>
      </c>
      <c r="E279" s="29">
        <f t="shared" si="26"/>
        <v>1.4583333333333334E-2</v>
      </c>
      <c r="H279" s="11">
        <v>45896</v>
      </c>
      <c r="I279" s="11">
        <v>45896</v>
      </c>
      <c r="J279" s="11"/>
      <c r="K279" s="11"/>
    </row>
    <row r="280" spans="1:13" ht="15.75" customHeight="1">
      <c r="C280" s="19" t="s">
        <v>278</v>
      </c>
      <c r="D280" s="28"/>
      <c r="E280" s="29"/>
    </row>
    <row r="281" spans="1:13" ht="15.75" customHeight="1">
      <c r="C281" s="1" t="s">
        <v>64</v>
      </c>
      <c r="D281" s="28" t="str">
        <f>TEXT(180/1440, "hh:mm:ss")</f>
        <v>03:00:00</v>
      </c>
      <c r="E281" s="29">
        <v>180</v>
      </c>
      <c r="H281" s="11">
        <v>45896</v>
      </c>
      <c r="I281" s="11">
        <v>45896</v>
      </c>
      <c r="J281" s="11"/>
      <c r="K281" s="11"/>
    </row>
    <row r="282" spans="1:13" ht="15.75" customHeight="1">
      <c r="A282" s="13"/>
      <c r="B282" s="14"/>
      <c r="C282" s="20"/>
      <c r="D282" s="30"/>
      <c r="E282" s="31"/>
      <c r="F282" s="16"/>
      <c r="G282" s="16"/>
      <c r="H282" s="17"/>
      <c r="I282" s="17"/>
      <c r="J282" s="17"/>
      <c r="K282" s="17"/>
      <c r="L282" s="16"/>
      <c r="M282" s="18"/>
    </row>
    <row r="283" spans="1:13" ht="15.75" customHeight="1">
      <c r="A283" s="8">
        <v>31</v>
      </c>
      <c r="B283" s="9" t="s">
        <v>44</v>
      </c>
      <c r="C283" s="19" t="s">
        <v>279</v>
      </c>
      <c r="D283" s="28" t="str">
        <f>TEXT(37.2/1440, "hh:mm:ss")</f>
        <v>00:37:12</v>
      </c>
      <c r="E283" s="29">
        <f>D283*3</f>
        <v>7.7499999999999999E-2</v>
      </c>
      <c r="H283" s="11">
        <v>45897</v>
      </c>
      <c r="I283" s="11">
        <v>45897</v>
      </c>
      <c r="J283" s="11"/>
      <c r="K283" s="11"/>
    </row>
    <row r="284" spans="1:13" ht="15.75" customHeight="1">
      <c r="C284" s="1" t="s">
        <v>64</v>
      </c>
      <c r="D284" s="28"/>
      <c r="E284" s="29">
        <v>120</v>
      </c>
    </row>
    <row r="285" spans="1:13" ht="15.75" customHeight="1">
      <c r="A285" s="13"/>
      <c r="B285" s="14"/>
      <c r="C285" s="20"/>
      <c r="D285" s="30"/>
      <c r="E285" s="31"/>
      <c r="F285" s="16"/>
      <c r="G285" s="16"/>
      <c r="H285" s="17"/>
      <c r="I285" s="17"/>
      <c r="J285" s="17"/>
      <c r="K285" s="17"/>
      <c r="L285" s="16"/>
      <c r="M285" s="18"/>
    </row>
    <row r="286" spans="1:13" ht="15.75" customHeight="1">
      <c r="A286" s="8">
        <v>32</v>
      </c>
      <c r="B286" s="9" t="s">
        <v>45</v>
      </c>
      <c r="C286" s="19" t="s">
        <v>280</v>
      </c>
      <c r="D286" s="28" t="str">
        <f>TEXT(8/1440, "hh:mm:ss")</f>
        <v>00:08:00</v>
      </c>
      <c r="E286" s="29">
        <f>D286*3</f>
        <v>1.6666666666666666E-2</v>
      </c>
      <c r="H286" s="11">
        <v>45898</v>
      </c>
      <c r="I286" s="11">
        <v>45898</v>
      </c>
      <c r="J286" s="11"/>
      <c r="K286" s="11"/>
    </row>
    <row r="287" spans="1:13" ht="15.75" customHeight="1">
      <c r="C287" s="19" t="s">
        <v>281</v>
      </c>
      <c r="D287" s="28" t="str">
        <f>TEXT(7.3/1440, "hh:mm:ss")</f>
        <v>00:07:18</v>
      </c>
      <c r="E287" s="29">
        <f t="shared" ref="E287:E292" si="27">D287*3</f>
        <v>1.5208333333333332E-2</v>
      </c>
      <c r="H287" s="11">
        <v>45898</v>
      </c>
      <c r="I287" s="11">
        <v>45898</v>
      </c>
      <c r="J287" s="11"/>
      <c r="K287" s="11"/>
    </row>
    <row r="288" spans="1:13" ht="15.75" customHeight="1">
      <c r="C288" s="19" t="s">
        <v>282</v>
      </c>
      <c r="D288" s="28" t="str">
        <f>TEXT(9.2/1440, "hh:mm:ss")</f>
        <v>00:09:12</v>
      </c>
      <c r="E288" s="29">
        <f t="shared" si="27"/>
        <v>1.9166666666666669E-2</v>
      </c>
      <c r="H288" s="11">
        <v>45898</v>
      </c>
      <c r="I288" s="11">
        <v>45898</v>
      </c>
      <c r="J288" s="11"/>
      <c r="K288" s="11"/>
    </row>
    <row r="289" spans="1:13" ht="15.75" customHeight="1">
      <c r="C289" s="19" t="s">
        <v>283</v>
      </c>
      <c r="D289" s="28" t="str">
        <f>TEXT(10.57/1440, "hh:mm:ss")</f>
        <v>00:10:34</v>
      </c>
      <c r="E289" s="29">
        <f t="shared" si="27"/>
        <v>2.2013888888888888E-2</v>
      </c>
      <c r="H289" s="11">
        <v>45898</v>
      </c>
      <c r="I289" s="11">
        <v>45898</v>
      </c>
      <c r="J289" s="11"/>
      <c r="K289" s="11"/>
    </row>
    <row r="290" spans="1:13" ht="15.75" customHeight="1">
      <c r="C290" s="19" t="s">
        <v>284</v>
      </c>
      <c r="D290" s="28" t="str">
        <f>TEXT(10/1440, "hh:mm:ss")</f>
        <v>00:10:00</v>
      </c>
      <c r="E290" s="29">
        <f t="shared" si="27"/>
        <v>2.0833333333333332E-2</v>
      </c>
      <c r="H290" s="11">
        <v>45898</v>
      </c>
      <c r="I290" s="11">
        <v>45898</v>
      </c>
      <c r="J290" s="11"/>
      <c r="K290" s="11"/>
    </row>
    <row r="291" spans="1:13" ht="15.75" customHeight="1">
      <c r="C291" s="19" t="s">
        <v>285</v>
      </c>
      <c r="D291" s="28" t="str">
        <f>TEXT(13/1440, "hh:mm:ss")</f>
        <v>00:13:00</v>
      </c>
      <c r="E291" s="29">
        <f t="shared" si="27"/>
        <v>2.7083333333333331E-2</v>
      </c>
      <c r="H291" s="11">
        <v>45898</v>
      </c>
      <c r="I291" s="11">
        <v>45898</v>
      </c>
      <c r="J291" s="11"/>
      <c r="K291" s="11"/>
    </row>
    <row r="292" spans="1:13" ht="15.75" customHeight="1">
      <c r="C292" s="19" t="s">
        <v>286</v>
      </c>
      <c r="D292" s="28" t="str">
        <f>TEXT(20/1440, "hh:mm:ss")</f>
        <v>00:20:00</v>
      </c>
      <c r="E292" s="29">
        <f t="shared" si="27"/>
        <v>4.1666666666666664E-2</v>
      </c>
      <c r="H292" s="11">
        <v>45898</v>
      </c>
      <c r="I292" s="11">
        <v>45898</v>
      </c>
      <c r="J292" s="11"/>
      <c r="K292" s="11"/>
    </row>
    <row r="293" spans="1:13" ht="15.75" customHeight="1">
      <c r="C293" s="1" t="s">
        <v>64</v>
      </c>
      <c r="D293" s="28" t="str">
        <f>TEXT(180/1440, "hh:mm:ss")</f>
        <v>03:00:00</v>
      </c>
      <c r="E293" s="29">
        <v>180</v>
      </c>
      <c r="H293" s="11">
        <v>45899</v>
      </c>
      <c r="I293" s="11">
        <v>45899</v>
      </c>
      <c r="J293" s="11"/>
      <c r="K293" s="11"/>
    </row>
    <row r="294" spans="1:13" ht="15.75" customHeight="1">
      <c r="A294" s="13"/>
      <c r="B294" s="14"/>
      <c r="C294" s="20"/>
      <c r="D294" s="30"/>
      <c r="E294" s="31"/>
      <c r="F294" s="16"/>
      <c r="G294" s="16"/>
      <c r="H294" s="17"/>
      <c r="I294" s="17"/>
      <c r="J294" s="17"/>
      <c r="K294" s="17"/>
      <c r="L294" s="16"/>
      <c r="M294" s="18"/>
    </row>
    <row r="295" spans="1:13" ht="15.75" customHeight="1">
      <c r="A295" s="8">
        <v>33</v>
      </c>
      <c r="B295" s="9" t="s">
        <v>46</v>
      </c>
      <c r="C295" s="19" t="s">
        <v>287</v>
      </c>
      <c r="D295" s="28" t="str">
        <f>TEXT(11/1440, "hh:mm:ss")</f>
        <v>00:11:00</v>
      </c>
      <c r="E295" s="29">
        <f>D295*3</f>
        <v>2.2916666666666665E-2</v>
      </c>
      <c r="H295" s="11">
        <v>45900</v>
      </c>
      <c r="I295" s="11">
        <v>45900</v>
      </c>
      <c r="J295" s="11"/>
      <c r="K295" s="11"/>
    </row>
    <row r="296" spans="1:13" ht="15.75" customHeight="1">
      <c r="C296" s="19" t="s">
        <v>288</v>
      </c>
      <c r="D296" s="28" t="str">
        <f>TEXT(11/1440, "hh:mm:ss")</f>
        <v>00:11:00</v>
      </c>
      <c r="E296" s="29">
        <f t="shared" ref="E296:E301" si="28">D296*3</f>
        <v>2.2916666666666665E-2</v>
      </c>
      <c r="H296" s="11">
        <v>45900</v>
      </c>
      <c r="I296" s="11">
        <v>45900</v>
      </c>
      <c r="J296" s="11"/>
      <c r="K296" s="11"/>
    </row>
    <row r="297" spans="1:13" ht="15.75" customHeight="1">
      <c r="C297" s="19" t="s">
        <v>289</v>
      </c>
      <c r="D297" s="28" t="str">
        <f>TEXT(10/1440, "hh:mm:ss")</f>
        <v>00:10:00</v>
      </c>
      <c r="E297" s="29">
        <f t="shared" si="28"/>
        <v>2.0833333333333332E-2</v>
      </c>
      <c r="H297" s="11">
        <v>45900</v>
      </c>
      <c r="I297" s="11">
        <v>45900</v>
      </c>
      <c r="J297" s="11"/>
      <c r="K297" s="11"/>
    </row>
    <row r="298" spans="1:13" ht="15.75" customHeight="1">
      <c r="C298" s="19" t="s">
        <v>290</v>
      </c>
      <c r="D298" s="28" t="str">
        <f>TEXT(13/1440, "hh:mm:ss")</f>
        <v>00:13:00</v>
      </c>
      <c r="E298" s="29">
        <f t="shared" si="28"/>
        <v>2.7083333333333331E-2</v>
      </c>
      <c r="H298" s="11">
        <v>45900</v>
      </c>
      <c r="I298" s="11">
        <v>45900</v>
      </c>
      <c r="J298" s="11"/>
      <c r="K298" s="11"/>
    </row>
    <row r="299" spans="1:13" ht="15.75" customHeight="1">
      <c r="C299" s="19" t="s">
        <v>291</v>
      </c>
      <c r="D299" s="28" t="str">
        <f>TEXT(13/1440, "hh:mm:ss")</f>
        <v>00:13:00</v>
      </c>
      <c r="E299" s="29">
        <f t="shared" si="28"/>
        <v>2.7083333333333331E-2</v>
      </c>
      <c r="H299" s="11">
        <v>45900</v>
      </c>
      <c r="I299" s="11">
        <v>45900</v>
      </c>
      <c r="J299" s="11"/>
      <c r="K299" s="11"/>
    </row>
    <row r="300" spans="1:13" ht="15.75" customHeight="1">
      <c r="C300" s="19" t="s">
        <v>292</v>
      </c>
      <c r="D300" s="28" t="str">
        <f>TEXT(12.3/1440, "hh:mm:ss")</f>
        <v>00:12:18</v>
      </c>
      <c r="E300" s="29">
        <f t="shared" si="28"/>
        <v>2.5624999999999998E-2</v>
      </c>
      <c r="H300" s="11">
        <v>45900</v>
      </c>
      <c r="I300" s="11">
        <v>45900</v>
      </c>
      <c r="J300" s="11"/>
      <c r="K300" s="11"/>
    </row>
    <row r="301" spans="1:13" ht="15.75" customHeight="1">
      <c r="C301" s="19" t="s">
        <v>293</v>
      </c>
      <c r="D301" s="28" t="str">
        <f>TEXT(10.3/1440, "hh:mm:ss")</f>
        <v>00:10:18</v>
      </c>
      <c r="E301" s="29">
        <f t="shared" si="28"/>
        <v>2.1458333333333333E-2</v>
      </c>
      <c r="H301" s="11">
        <v>45900</v>
      </c>
      <c r="I301" s="11">
        <v>45900</v>
      </c>
      <c r="J301" s="11"/>
      <c r="K301" s="11"/>
    </row>
    <row r="302" spans="1:13" ht="15.75" customHeight="1">
      <c r="C302" s="1" t="s">
        <v>64</v>
      </c>
      <c r="D302" s="28" t="str">
        <f>TEXT(180/1440, "hh:mm:ss")</f>
        <v>03:00:00</v>
      </c>
      <c r="E302" s="29">
        <v>180</v>
      </c>
      <c r="H302" s="11">
        <v>45901</v>
      </c>
      <c r="I302" s="11">
        <v>45901</v>
      </c>
      <c r="J302" s="11"/>
      <c r="K302" s="11"/>
    </row>
    <row r="303" spans="1:13" ht="15.75" customHeight="1">
      <c r="A303" s="13"/>
      <c r="B303" s="14"/>
      <c r="C303" s="20"/>
      <c r="D303" s="30"/>
      <c r="E303" s="31"/>
      <c r="F303" s="16"/>
      <c r="G303" s="16"/>
      <c r="H303" s="17"/>
      <c r="I303" s="17"/>
      <c r="J303" s="17"/>
      <c r="K303" s="17"/>
      <c r="L303" s="16"/>
      <c r="M303" s="18"/>
    </row>
    <row r="304" spans="1:13" ht="15.75" customHeight="1">
      <c r="A304" s="8">
        <v>34</v>
      </c>
      <c r="B304" s="9" t="s">
        <v>47</v>
      </c>
      <c r="C304" s="19" t="s">
        <v>294</v>
      </c>
      <c r="D304" s="28" t="str">
        <f>TEXT(7/1440, "hh:mm:ss")</f>
        <v>00:07:00</v>
      </c>
      <c r="E304" s="29">
        <f>D304*3</f>
        <v>1.4583333333333334E-2</v>
      </c>
      <c r="H304" s="11">
        <v>45901</v>
      </c>
      <c r="I304" s="11">
        <v>45908</v>
      </c>
      <c r="J304" s="11"/>
      <c r="K304" s="11"/>
    </row>
    <row r="305" spans="3:11" ht="15.75" customHeight="1">
      <c r="C305" s="19" t="s">
        <v>295</v>
      </c>
      <c r="D305" s="28" t="str">
        <f>TEXT(5/1440, "hh:mm:ss")</f>
        <v>00:05:00</v>
      </c>
      <c r="E305" s="29">
        <f t="shared" ref="E305:E320" si="29">D305*3</f>
        <v>1.0416666666666666E-2</v>
      </c>
      <c r="H305" s="11">
        <v>45901</v>
      </c>
      <c r="I305" s="11">
        <v>45908</v>
      </c>
      <c r="J305" s="11"/>
      <c r="K305" s="11"/>
    </row>
    <row r="306" spans="3:11" ht="15.75" customHeight="1">
      <c r="C306" s="19" t="s">
        <v>296</v>
      </c>
      <c r="D306" s="28" t="str">
        <f>TEXT(9/1440, "hh:mm:ss")</f>
        <v>00:09:00</v>
      </c>
      <c r="E306" s="29">
        <f t="shared" si="29"/>
        <v>1.8750000000000003E-2</v>
      </c>
      <c r="H306" s="11">
        <v>45901</v>
      </c>
      <c r="I306" s="11">
        <v>45908</v>
      </c>
      <c r="J306" s="11"/>
      <c r="K306" s="11"/>
    </row>
    <row r="307" spans="3:11" ht="15.75" customHeight="1">
      <c r="C307" s="19" t="s">
        <v>297</v>
      </c>
      <c r="D307" s="28" t="str">
        <f>TEXT(12.3/1440, "hh:mm:ss")</f>
        <v>00:12:18</v>
      </c>
      <c r="E307" s="29">
        <f t="shared" si="29"/>
        <v>2.5624999999999998E-2</v>
      </c>
      <c r="H307" s="11">
        <v>45901</v>
      </c>
      <c r="I307" s="11">
        <v>45908</v>
      </c>
      <c r="J307" s="11"/>
      <c r="K307" s="11"/>
    </row>
    <row r="308" spans="3:11" ht="15.75" customHeight="1">
      <c r="C308" s="19" t="s">
        <v>298</v>
      </c>
      <c r="D308" s="28" t="str">
        <f>TEXT(10/1440, "hh:mm:ss")</f>
        <v>00:10:00</v>
      </c>
      <c r="E308" s="29">
        <f t="shared" si="29"/>
        <v>2.0833333333333332E-2</v>
      </c>
      <c r="H308" s="11">
        <v>45901</v>
      </c>
      <c r="I308" s="11">
        <v>45908</v>
      </c>
      <c r="J308" s="11"/>
      <c r="K308" s="11"/>
    </row>
    <row r="309" spans="3:11" ht="15.75" customHeight="1">
      <c r="C309" s="19" t="s">
        <v>299</v>
      </c>
      <c r="D309" s="28" t="str">
        <f>TEXT(11.3/1440, "hh:mm:ss")</f>
        <v>00:11:18</v>
      </c>
      <c r="E309" s="29">
        <f t="shared" si="29"/>
        <v>2.3541666666666669E-2</v>
      </c>
      <c r="H309" s="11">
        <v>45901</v>
      </c>
      <c r="I309" s="11">
        <v>45908</v>
      </c>
      <c r="J309" s="11"/>
      <c r="K309" s="11"/>
    </row>
    <row r="310" spans="3:11" ht="15.75" customHeight="1">
      <c r="C310" s="19" t="s">
        <v>300</v>
      </c>
      <c r="D310" s="28" t="str">
        <f>TEXT(10.1/1440, "hh:mm:ss")</f>
        <v>00:10:06</v>
      </c>
      <c r="E310" s="29">
        <f t="shared" si="29"/>
        <v>2.1041666666666667E-2</v>
      </c>
      <c r="H310" s="11">
        <v>45901</v>
      </c>
      <c r="I310" s="11">
        <v>45908</v>
      </c>
      <c r="J310" s="11"/>
      <c r="K310" s="11"/>
    </row>
    <row r="311" spans="3:11" ht="15.75" customHeight="1">
      <c r="C311" s="19" t="s">
        <v>301</v>
      </c>
      <c r="D311" s="28" t="str">
        <f>TEXT(19/1440, "hh:mm:ss")</f>
        <v>00:19:00</v>
      </c>
      <c r="E311" s="29">
        <f t="shared" si="29"/>
        <v>3.9583333333333331E-2</v>
      </c>
      <c r="H311" s="11">
        <v>45901</v>
      </c>
      <c r="I311" s="11">
        <v>45908</v>
      </c>
      <c r="J311" s="11"/>
      <c r="K311" s="11"/>
    </row>
    <row r="312" spans="3:11" ht="15.75" customHeight="1">
      <c r="C312" s="19" t="s">
        <v>302</v>
      </c>
      <c r="D312" s="28" t="str">
        <f>TEXT(11/1440, "hh:mm:ss")</f>
        <v>00:11:00</v>
      </c>
      <c r="E312" s="29">
        <f t="shared" si="29"/>
        <v>2.2916666666666665E-2</v>
      </c>
      <c r="H312" s="11">
        <v>45901</v>
      </c>
      <c r="I312" s="11">
        <v>45908</v>
      </c>
      <c r="J312" s="11"/>
      <c r="K312" s="11"/>
    </row>
    <row r="313" spans="3:11" ht="15.75" customHeight="1">
      <c r="C313" s="19" t="s">
        <v>303</v>
      </c>
      <c r="D313" s="28" t="str">
        <f>TEXT(7/1440, "hh:mm:ss")</f>
        <v>00:07:00</v>
      </c>
      <c r="E313" s="29">
        <f t="shared" si="29"/>
        <v>1.4583333333333334E-2</v>
      </c>
      <c r="H313" s="11">
        <v>45901</v>
      </c>
      <c r="I313" s="11">
        <v>45908</v>
      </c>
      <c r="J313" s="11"/>
      <c r="K313" s="11"/>
    </row>
    <row r="314" spans="3:11" ht="15.75" customHeight="1">
      <c r="C314" s="19" t="s">
        <v>304</v>
      </c>
      <c r="D314" s="28" t="str">
        <f>TEXT(6.3/1440, "hh:mm:ss")</f>
        <v>00:06:18</v>
      </c>
      <c r="E314" s="29">
        <f t="shared" si="29"/>
        <v>1.3125000000000001E-2</v>
      </c>
      <c r="H314" s="11">
        <v>45901</v>
      </c>
      <c r="I314" s="11">
        <v>45908</v>
      </c>
      <c r="J314" s="11"/>
      <c r="K314" s="11"/>
    </row>
    <row r="315" spans="3:11" ht="15.75" customHeight="1">
      <c r="C315" s="19" t="s">
        <v>305</v>
      </c>
      <c r="D315" s="28" t="str">
        <f>TEXT(4/1440, "hh:mm:ss")</f>
        <v>00:04:00</v>
      </c>
      <c r="E315" s="29">
        <f t="shared" si="29"/>
        <v>8.3333333333333332E-3</v>
      </c>
      <c r="H315" s="11">
        <v>45901</v>
      </c>
      <c r="I315" s="11">
        <v>45908</v>
      </c>
      <c r="J315" s="11"/>
      <c r="K315" s="11"/>
    </row>
    <row r="316" spans="3:11" ht="15.75" customHeight="1">
      <c r="C316" s="19" t="s">
        <v>306</v>
      </c>
      <c r="D316" s="28" t="str">
        <f>TEXT(9/1440, "hh:mm:ss")</f>
        <v>00:09:00</v>
      </c>
      <c r="E316" s="29">
        <f t="shared" si="29"/>
        <v>1.8750000000000003E-2</v>
      </c>
      <c r="H316" s="11">
        <v>45901</v>
      </c>
      <c r="I316" s="11">
        <v>45908</v>
      </c>
      <c r="J316" s="11"/>
      <c r="K316" s="11"/>
    </row>
    <row r="317" spans="3:11" ht="15.75" customHeight="1">
      <c r="C317" s="19" t="s">
        <v>307</v>
      </c>
      <c r="D317" s="28" t="str">
        <f>TEXT(12.3/1440, "hh:mm:ss")</f>
        <v>00:12:18</v>
      </c>
      <c r="E317" s="29">
        <f t="shared" si="29"/>
        <v>2.5624999999999998E-2</v>
      </c>
      <c r="H317" s="11">
        <v>45901</v>
      </c>
      <c r="I317" s="11">
        <v>45908</v>
      </c>
      <c r="J317" s="11"/>
      <c r="K317" s="11"/>
    </row>
    <row r="318" spans="3:11" ht="15.75" customHeight="1">
      <c r="C318" s="19" t="s">
        <v>308</v>
      </c>
      <c r="D318" s="28" t="str">
        <f>TEXT(8/1440, "hh:mm:ss")</f>
        <v>00:08:00</v>
      </c>
      <c r="E318" s="29">
        <f t="shared" si="29"/>
        <v>1.6666666666666666E-2</v>
      </c>
      <c r="H318" s="11">
        <v>45901</v>
      </c>
      <c r="I318" s="11">
        <v>45908</v>
      </c>
      <c r="J318" s="11"/>
      <c r="K318" s="11"/>
    </row>
    <row r="319" spans="3:11" ht="15.75" customHeight="1">
      <c r="C319" s="19" t="s">
        <v>309</v>
      </c>
      <c r="D319" s="28" t="str">
        <f>TEXT(13/1440, "hh:mm:ss")</f>
        <v>00:13:00</v>
      </c>
      <c r="E319" s="29">
        <f t="shared" si="29"/>
        <v>2.7083333333333331E-2</v>
      </c>
      <c r="H319" s="11">
        <v>45901</v>
      </c>
      <c r="I319" s="11">
        <v>45908</v>
      </c>
      <c r="J319" s="11"/>
      <c r="K319" s="11"/>
    </row>
    <row r="320" spans="3:11" ht="15.75" customHeight="1">
      <c r="C320" s="19" t="s">
        <v>310</v>
      </c>
      <c r="D320" s="28" t="str">
        <f>TEXT(18.3/1440, "hh:mm:ss")</f>
        <v>00:18:18</v>
      </c>
      <c r="E320" s="29">
        <f t="shared" si="29"/>
        <v>3.8124999999999999E-2</v>
      </c>
      <c r="H320" s="11">
        <v>45901</v>
      </c>
      <c r="I320" s="11">
        <v>45908</v>
      </c>
      <c r="J320" s="11"/>
      <c r="K320" s="11"/>
    </row>
    <row r="321" spans="1:13" ht="15.75" customHeight="1">
      <c r="C321" s="1" t="s">
        <v>64</v>
      </c>
      <c r="D321" s="28" t="str">
        <f>TEXT(500/1440, "hh:mm:ss")</f>
        <v>08:20:00</v>
      </c>
      <c r="E321" s="29">
        <v>300</v>
      </c>
      <c r="H321" s="11">
        <v>45901</v>
      </c>
      <c r="I321" s="11">
        <v>45908</v>
      </c>
      <c r="J321" s="11"/>
      <c r="K321" s="11"/>
    </row>
    <row r="322" spans="1:13" ht="15.75" customHeight="1">
      <c r="A322" s="13"/>
      <c r="B322" s="14"/>
      <c r="C322" s="20"/>
      <c r="D322" s="30"/>
      <c r="E322" s="31"/>
      <c r="F322" s="16"/>
      <c r="G322" s="16"/>
      <c r="H322" s="17"/>
      <c r="I322" s="17"/>
      <c r="J322" s="17"/>
      <c r="K322" s="17"/>
      <c r="L322" s="16"/>
      <c r="M322" s="18"/>
    </row>
    <row r="323" spans="1:13" ht="15.75" customHeight="1">
      <c r="A323" s="8">
        <v>35</v>
      </c>
      <c r="B323" s="9" t="s">
        <v>48</v>
      </c>
      <c r="C323" s="2" t="s">
        <v>311</v>
      </c>
      <c r="D323" s="28" t="str">
        <f>TEXT(11/1440, "hh:mm:ss")</f>
        <v>00:11:00</v>
      </c>
      <c r="E323" s="29">
        <f>D323*3</f>
        <v>2.2916666666666665E-2</v>
      </c>
      <c r="H323" s="11">
        <v>45908</v>
      </c>
      <c r="I323" s="11">
        <v>45917</v>
      </c>
      <c r="J323" s="11"/>
      <c r="K323" s="11"/>
    </row>
    <row r="324" spans="1:13" ht="15.75" customHeight="1">
      <c r="A324" s="10"/>
      <c r="C324" s="2" t="s">
        <v>312</v>
      </c>
      <c r="D324" s="28" t="str">
        <f>TEXT(7/1440, "hh:mm:ss")</f>
        <v>00:07:00</v>
      </c>
      <c r="E324" s="29">
        <f t="shared" ref="E324:E339" si="30">D324*3</f>
        <v>1.4583333333333334E-2</v>
      </c>
      <c r="H324" s="11">
        <v>45908</v>
      </c>
      <c r="I324" s="11">
        <v>45917</v>
      </c>
      <c r="J324" s="11"/>
      <c r="K324" s="11"/>
    </row>
    <row r="325" spans="1:13" ht="15.75" customHeight="1">
      <c r="B325" s="9"/>
      <c r="C325" s="2" t="s">
        <v>313</v>
      </c>
      <c r="D325" s="28" t="str">
        <f>TEXT(7/1440, "hh:mm:ss")</f>
        <v>00:07:00</v>
      </c>
      <c r="E325" s="29">
        <f t="shared" si="30"/>
        <v>1.4583333333333334E-2</v>
      </c>
      <c r="H325" s="11">
        <v>45908</v>
      </c>
      <c r="I325" s="11">
        <v>45917</v>
      </c>
      <c r="J325" s="11"/>
      <c r="K325" s="11"/>
    </row>
    <row r="326" spans="1:13" ht="15.75" customHeight="1">
      <c r="B326" s="9"/>
      <c r="C326" s="2" t="s">
        <v>314</v>
      </c>
      <c r="D326" s="28" t="str">
        <f>TEXT(10/1440, "hh:mm:ss")</f>
        <v>00:10:00</v>
      </c>
      <c r="E326" s="29">
        <f t="shared" si="30"/>
        <v>2.0833333333333332E-2</v>
      </c>
      <c r="H326" s="11">
        <v>45908</v>
      </c>
      <c r="I326" s="11">
        <v>45917</v>
      </c>
      <c r="J326" s="11"/>
      <c r="K326" s="11"/>
    </row>
    <row r="327" spans="1:13" ht="15.75" customHeight="1">
      <c r="B327" s="9"/>
      <c r="C327" s="2" t="s">
        <v>315</v>
      </c>
      <c r="D327" s="28" t="str">
        <f>TEXT(0.3/1440, "hh:mm:ss")</f>
        <v>00:00:18</v>
      </c>
      <c r="E327" s="29">
        <f t="shared" si="30"/>
        <v>6.2500000000000001E-4</v>
      </c>
      <c r="H327" s="11">
        <v>45908</v>
      </c>
      <c r="I327" s="11">
        <v>45917</v>
      </c>
      <c r="J327" s="11"/>
      <c r="K327" s="11"/>
    </row>
    <row r="328" spans="1:13" ht="15.75" customHeight="1">
      <c r="B328" s="9"/>
      <c r="C328" s="2" t="s">
        <v>316</v>
      </c>
      <c r="D328" s="28" t="str">
        <f>TEXT(7/1440, "hh:mm:ss")</f>
        <v>00:07:00</v>
      </c>
      <c r="E328" s="29">
        <f t="shared" si="30"/>
        <v>1.4583333333333334E-2</v>
      </c>
      <c r="H328" s="11">
        <v>45908</v>
      </c>
      <c r="I328" s="11">
        <v>45917</v>
      </c>
      <c r="J328" s="11"/>
      <c r="K328" s="11"/>
    </row>
    <row r="329" spans="1:13" ht="15.75" customHeight="1">
      <c r="B329" s="9"/>
      <c r="C329" s="2" t="s">
        <v>317</v>
      </c>
      <c r="D329" s="28" t="str">
        <f>TEXT(6/1440, "hh:mm:ss")</f>
        <v>00:06:00</v>
      </c>
      <c r="E329" s="29">
        <f t="shared" si="30"/>
        <v>1.2500000000000001E-2</v>
      </c>
      <c r="H329" s="11">
        <v>45908</v>
      </c>
      <c r="I329" s="11">
        <v>45917</v>
      </c>
      <c r="J329" s="11"/>
      <c r="K329" s="11"/>
    </row>
    <row r="330" spans="1:13" ht="15.75" customHeight="1">
      <c r="B330" s="9"/>
      <c r="C330" s="2" t="s">
        <v>318</v>
      </c>
      <c r="D330" s="28" t="str">
        <f>TEXT(6/1440, "hh:mm:ss")</f>
        <v>00:06:00</v>
      </c>
      <c r="E330" s="29">
        <f t="shared" si="30"/>
        <v>1.2500000000000001E-2</v>
      </c>
      <c r="H330" s="11">
        <v>45908</v>
      </c>
      <c r="I330" s="11">
        <v>45917</v>
      </c>
      <c r="J330" s="11"/>
      <c r="K330" s="11"/>
    </row>
    <row r="331" spans="1:13" ht="15.75" customHeight="1">
      <c r="B331" s="9"/>
      <c r="C331" s="2" t="s">
        <v>319</v>
      </c>
      <c r="D331" s="28" t="str">
        <f>TEXT(23.35/1440, "hh:mm:ss")</f>
        <v>00:23:21</v>
      </c>
      <c r="E331" s="29">
        <f t="shared" si="30"/>
        <v>4.8645833333333333E-2</v>
      </c>
      <c r="H331" s="11">
        <v>45908</v>
      </c>
      <c r="I331" s="11">
        <v>45917</v>
      </c>
      <c r="J331" s="11"/>
      <c r="K331" s="11"/>
    </row>
    <row r="332" spans="1:13" ht="15.75" customHeight="1">
      <c r="B332" s="9"/>
      <c r="C332" s="2" t="s">
        <v>320</v>
      </c>
      <c r="D332" s="28" t="str">
        <f>TEXT(9/1440, "hh:mm:ss")</f>
        <v>00:09:00</v>
      </c>
      <c r="E332" s="29">
        <f t="shared" si="30"/>
        <v>1.8750000000000003E-2</v>
      </c>
      <c r="H332" s="11">
        <v>45908</v>
      </c>
      <c r="I332" s="11">
        <v>45917</v>
      </c>
      <c r="J332" s="11"/>
      <c r="K332" s="11"/>
    </row>
    <row r="333" spans="1:13" ht="15.75" customHeight="1">
      <c r="B333" s="9"/>
      <c r="C333" s="2" t="s">
        <v>321</v>
      </c>
      <c r="D333" s="28" t="str">
        <f>TEXT(6.25/1440, "hh:mm:ss")</f>
        <v>00:06:15</v>
      </c>
      <c r="E333" s="29">
        <f t="shared" si="30"/>
        <v>1.3020833333333334E-2</v>
      </c>
      <c r="H333" s="11">
        <v>45908</v>
      </c>
      <c r="I333" s="11">
        <v>45917</v>
      </c>
      <c r="J333" s="11"/>
      <c r="K333" s="11"/>
    </row>
    <row r="334" spans="1:13" ht="15.75" customHeight="1">
      <c r="B334" s="9"/>
      <c r="C334" s="2" t="s">
        <v>322</v>
      </c>
      <c r="D334" s="28" t="str">
        <f>TEXT(8.45/1440, "hh:mm:ss")</f>
        <v>00:08:27</v>
      </c>
      <c r="E334" s="29">
        <f t="shared" si="30"/>
        <v>1.7604166666666664E-2</v>
      </c>
      <c r="H334" s="11">
        <v>45908</v>
      </c>
      <c r="I334" s="11">
        <v>45917</v>
      </c>
      <c r="J334" s="11"/>
      <c r="K334" s="11"/>
    </row>
    <row r="335" spans="1:13" ht="15.75" customHeight="1">
      <c r="B335" s="9"/>
      <c r="C335" s="2" t="s">
        <v>323</v>
      </c>
      <c r="D335" s="28" t="str">
        <f>TEXT(7.5/1440, "hh:mm:ss")</f>
        <v>00:07:30</v>
      </c>
      <c r="E335" s="29">
        <f t="shared" si="30"/>
        <v>1.5625E-2</v>
      </c>
      <c r="H335" s="11">
        <v>45908</v>
      </c>
      <c r="I335" s="11">
        <v>45917</v>
      </c>
      <c r="J335" s="11"/>
      <c r="K335" s="11"/>
    </row>
    <row r="336" spans="1:13" ht="15.75" customHeight="1">
      <c r="B336" s="9"/>
      <c r="C336" s="2" t="s">
        <v>324</v>
      </c>
      <c r="D336" s="28" t="str">
        <f>TEXT(11.04/1440, "hh:mm:ss")</f>
        <v>00:11:02</v>
      </c>
      <c r="E336" s="29">
        <f t="shared" si="30"/>
        <v>2.298611111111111E-2</v>
      </c>
      <c r="H336" s="11">
        <v>45908</v>
      </c>
      <c r="I336" s="11">
        <v>45917</v>
      </c>
      <c r="J336" s="11"/>
      <c r="K336" s="11"/>
    </row>
    <row r="337" spans="1:13" ht="15.75" customHeight="1">
      <c r="B337" s="9"/>
      <c r="C337" s="2" t="s">
        <v>325</v>
      </c>
      <c r="D337" s="28" t="str">
        <f>TEXT(10/1440, "hh:mm:ss")</f>
        <v>00:10:00</v>
      </c>
      <c r="E337" s="29">
        <f t="shared" si="30"/>
        <v>2.0833333333333332E-2</v>
      </c>
      <c r="H337" s="11">
        <v>45908</v>
      </c>
      <c r="I337" s="11">
        <v>45917</v>
      </c>
      <c r="J337" s="11"/>
      <c r="K337" s="11"/>
    </row>
    <row r="338" spans="1:13" ht="15.75" customHeight="1">
      <c r="B338" s="9"/>
      <c r="C338" s="2" t="s">
        <v>326</v>
      </c>
      <c r="D338" s="28" t="str">
        <f>TEXT(7/1440, "hh:mm:ss")</f>
        <v>00:07:00</v>
      </c>
      <c r="E338" s="29">
        <f t="shared" si="30"/>
        <v>1.4583333333333334E-2</v>
      </c>
      <c r="H338" s="11">
        <v>45908</v>
      </c>
      <c r="I338" s="11">
        <v>45917</v>
      </c>
      <c r="J338" s="11"/>
      <c r="K338" s="11"/>
    </row>
    <row r="339" spans="1:13" ht="15.75" customHeight="1">
      <c r="B339" s="9"/>
      <c r="C339" s="2" t="s">
        <v>327</v>
      </c>
      <c r="D339" s="28" t="str">
        <f>TEXT(6.35/1440, "hh:mm:ss")</f>
        <v>00:06:21</v>
      </c>
      <c r="E339" s="29">
        <f t="shared" si="30"/>
        <v>1.3229166666666667E-2</v>
      </c>
      <c r="H339" s="11">
        <v>45908</v>
      </c>
      <c r="I339" s="11">
        <v>45917</v>
      </c>
      <c r="J339" s="11"/>
      <c r="K339" s="11"/>
    </row>
    <row r="340" spans="1:13" ht="15.75" customHeight="1">
      <c r="B340" s="9"/>
      <c r="C340" s="2" t="s">
        <v>328</v>
      </c>
      <c r="D340" s="28"/>
      <c r="E340" s="29"/>
    </row>
    <row r="341" spans="1:13" ht="15.75" customHeight="1">
      <c r="B341" s="9"/>
      <c r="C341" s="1" t="s">
        <v>64</v>
      </c>
      <c r="D341" s="28" t="str">
        <f>TEXT(500/1440, "hh:mm:ss")</f>
        <v>08:20:00</v>
      </c>
      <c r="E341" s="29">
        <v>300</v>
      </c>
      <c r="H341" s="11">
        <v>45908</v>
      </c>
      <c r="I341" s="11">
        <v>45917</v>
      </c>
      <c r="J341" s="11"/>
      <c r="K341" s="11"/>
    </row>
    <row r="342" spans="1:13" ht="15.75" customHeight="1">
      <c r="A342" s="13"/>
      <c r="B342" s="14"/>
      <c r="C342" s="20"/>
      <c r="D342" s="30"/>
      <c r="E342" s="31"/>
      <c r="F342" s="16"/>
      <c r="G342" s="16"/>
      <c r="H342" s="17"/>
      <c r="I342" s="17"/>
      <c r="J342" s="17"/>
      <c r="K342" s="17"/>
      <c r="L342" s="16"/>
      <c r="M342" s="18"/>
    </row>
    <row r="343" spans="1:13" ht="15.75" customHeight="1">
      <c r="A343" s="8">
        <v>36</v>
      </c>
      <c r="B343" s="9" t="s">
        <v>49</v>
      </c>
      <c r="C343" s="2" t="s">
        <v>329</v>
      </c>
      <c r="D343" s="28" t="str">
        <f>TEXT(6.3/1440, "hh:mm:ss")</f>
        <v>00:06:18</v>
      </c>
      <c r="E343" s="29">
        <f>D343*3</f>
        <v>1.3125000000000001E-2</v>
      </c>
      <c r="H343" s="11">
        <v>45917</v>
      </c>
      <c r="I343" s="11">
        <v>45924</v>
      </c>
      <c r="J343" s="11"/>
      <c r="K343" s="11"/>
    </row>
    <row r="344" spans="1:13" ht="15.75" customHeight="1">
      <c r="A344" s="10"/>
      <c r="C344" s="2" t="s">
        <v>330</v>
      </c>
      <c r="D344" s="28" t="str">
        <f>TEXT(11.8/1440, "hh:mm:ss")</f>
        <v>00:11:48</v>
      </c>
      <c r="E344" s="29">
        <f t="shared" ref="E344:E352" si="31">D344*3</f>
        <v>2.4583333333333336E-2</v>
      </c>
      <c r="H344" s="11">
        <v>45917</v>
      </c>
      <c r="I344" s="11">
        <v>45924</v>
      </c>
      <c r="J344" s="11"/>
      <c r="K344" s="11"/>
    </row>
    <row r="345" spans="1:13" ht="15.75" customHeight="1">
      <c r="C345" s="2" t="s">
        <v>331</v>
      </c>
      <c r="D345" s="28" t="str">
        <f>TEXT(6/1440, "hh:mm:ss")</f>
        <v>00:06:00</v>
      </c>
      <c r="E345" s="29">
        <f t="shared" si="31"/>
        <v>1.2500000000000001E-2</v>
      </c>
      <c r="H345" s="11">
        <v>45917</v>
      </c>
      <c r="I345" s="11">
        <v>45924</v>
      </c>
      <c r="J345" s="11"/>
      <c r="K345" s="11"/>
    </row>
    <row r="346" spans="1:13" ht="15.75" customHeight="1">
      <c r="C346" s="2" t="s">
        <v>332</v>
      </c>
      <c r="D346" s="28" t="str">
        <f>TEXT(1.04/1440, "hh:mm:ss")</f>
        <v>00:01:02</v>
      </c>
      <c r="E346" s="29">
        <f t="shared" si="31"/>
        <v>2.1527777777777778E-3</v>
      </c>
      <c r="H346" s="11">
        <v>45917</v>
      </c>
      <c r="I346" s="11">
        <v>45924</v>
      </c>
      <c r="J346" s="11"/>
      <c r="K346" s="11"/>
    </row>
    <row r="347" spans="1:13" ht="15.75" customHeight="1">
      <c r="C347" s="2" t="s">
        <v>333</v>
      </c>
      <c r="D347" s="28"/>
      <c r="E347" s="29"/>
      <c r="H347" s="11">
        <v>45917</v>
      </c>
      <c r="I347" s="11">
        <v>45924</v>
      </c>
      <c r="J347" s="11"/>
      <c r="K347" s="11"/>
    </row>
    <row r="348" spans="1:13" ht="15.75" customHeight="1">
      <c r="C348" s="2" t="s">
        <v>334</v>
      </c>
      <c r="D348" s="28" t="str">
        <f>TEXT(8.3/1440, "hh:mm:ss")</f>
        <v>00:08:18</v>
      </c>
      <c r="E348" s="29">
        <f t="shared" si="31"/>
        <v>1.7291666666666667E-2</v>
      </c>
      <c r="H348" s="11">
        <v>45917</v>
      </c>
      <c r="I348" s="11">
        <v>45924</v>
      </c>
      <c r="J348" s="11"/>
      <c r="K348" s="11"/>
    </row>
    <row r="349" spans="1:13" ht="15.75" customHeight="1">
      <c r="C349" s="2" t="s">
        <v>335</v>
      </c>
      <c r="D349" s="28" t="str">
        <f>TEXT(8.17/1440, "hh:mm:ss")</f>
        <v>00:08:10</v>
      </c>
      <c r="E349" s="29">
        <f t="shared" si="31"/>
        <v>1.7013888888888891E-2</v>
      </c>
      <c r="H349" s="11">
        <v>45917</v>
      </c>
      <c r="I349" s="11">
        <v>45924</v>
      </c>
      <c r="J349" s="11"/>
      <c r="K349" s="11"/>
    </row>
    <row r="350" spans="1:13" ht="15.75" customHeight="1">
      <c r="C350" s="2" t="s">
        <v>336</v>
      </c>
      <c r="D350" s="28" t="str">
        <f>TEXT(17/1440, "hh:mm:ss")</f>
        <v>00:17:00</v>
      </c>
      <c r="E350" s="29">
        <f t="shared" si="31"/>
        <v>3.5416666666666666E-2</v>
      </c>
      <c r="H350" s="11">
        <v>45917</v>
      </c>
      <c r="I350" s="11">
        <v>45924</v>
      </c>
      <c r="J350" s="11"/>
      <c r="K350" s="11"/>
    </row>
    <row r="351" spans="1:13" ht="15.75" customHeight="1">
      <c r="C351" s="2" t="s">
        <v>337</v>
      </c>
      <c r="D351" s="28" t="str">
        <f>TEXT(0.5/1440, "hh:mm:ss")</f>
        <v>00:00:30</v>
      </c>
      <c r="E351" s="29">
        <f t="shared" si="31"/>
        <v>1.0416666666666667E-3</v>
      </c>
      <c r="H351" s="11">
        <v>45917</v>
      </c>
      <c r="I351" s="11">
        <v>45924</v>
      </c>
      <c r="J351" s="11"/>
      <c r="K351" s="11"/>
    </row>
    <row r="352" spans="1:13" ht="15.75" customHeight="1">
      <c r="C352" s="2" t="s">
        <v>338</v>
      </c>
      <c r="D352" s="28" t="str">
        <f>TEXT(6/1440, "hh:mm:ss")</f>
        <v>00:06:00</v>
      </c>
      <c r="E352" s="29">
        <f t="shared" si="31"/>
        <v>1.2500000000000001E-2</v>
      </c>
      <c r="H352" s="11">
        <v>45917</v>
      </c>
      <c r="I352" s="11">
        <v>45924</v>
      </c>
      <c r="J352" s="11"/>
      <c r="K352" s="11"/>
    </row>
    <row r="353" spans="1:13" ht="15.75" customHeight="1">
      <c r="C353" s="1" t="s">
        <v>64</v>
      </c>
      <c r="D353" s="28" t="str">
        <f>TEXT(500/1440, "hh:mm:ss")</f>
        <v>08:20:00</v>
      </c>
      <c r="E353" s="29">
        <v>300</v>
      </c>
      <c r="H353" s="11">
        <v>45917</v>
      </c>
      <c r="I353" s="11">
        <v>45924</v>
      </c>
      <c r="J353" s="11"/>
      <c r="K353" s="11"/>
    </row>
    <row r="354" spans="1:13">
      <c r="A354" s="13"/>
      <c r="B354" s="14"/>
      <c r="C354" s="20"/>
      <c r="D354" s="30"/>
      <c r="E354" s="31"/>
      <c r="F354" s="16"/>
      <c r="G354" s="16"/>
      <c r="H354" s="17"/>
      <c r="I354" s="17"/>
      <c r="J354" s="17"/>
      <c r="K354" s="17"/>
      <c r="L354" s="16"/>
      <c r="M354" s="18"/>
    </row>
    <row r="355" spans="1:13">
      <c r="B355" s="9"/>
      <c r="C355" s="4"/>
      <c r="H355" s="11"/>
      <c r="I355" s="11"/>
      <c r="J355" s="11"/>
      <c r="K355" s="11"/>
      <c r="M355" s="25"/>
    </row>
    <row r="356" spans="1:13">
      <c r="C356" s="2"/>
    </row>
    <row r="357" spans="1:13">
      <c r="C357" s="2"/>
    </row>
    <row r="359" spans="1:13">
      <c r="C359" s="3"/>
    </row>
    <row r="361" spans="1:13">
      <c r="C361" s="3"/>
    </row>
    <row r="365" spans="1:13">
      <c r="C365" s="3"/>
    </row>
    <row r="367" spans="1:13">
      <c r="C367" s="3"/>
    </row>
    <row r="369" spans="3:3">
      <c r="C369" s="3"/>
    </row>
  </sheetData>
  <hyperlinks>
    <hyperlink ref="O2" r:id="rId1" xr:uid="{9F69D0F3-631E-4F99-B0C0-F1E772E44D90}"/>
    <hyperlink ref="O1" r:id="rId2" xr:uid="{FC133FF3-C5BC-4035-8DFC-A081D04ACE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Malini R</cp:lastModifiedBy>
  <cp:revision/>
  <dcterms:created xsi:type="dcterms:W3CDTF">2025-06-19T12:15:09Z</dcterms:created>
  <dcterms:modified xsi:type="dcterms:W3CDTF">2025-07-31T08:20:22Z</dcterms:modified>
  <cp:category/>
  <cp:contentStatus/>
</cp:coreProperties>
</file>